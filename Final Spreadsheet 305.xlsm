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akelane/Desktop/"/>
    </mc:Choice>
  </mc:AlternateContent>
  <xr:revisionPtr revIDLastSave="0" documentId="13_ncr:1_{EC63CC17-EC48-D745-997A-377D341A45E6}" xr6:coauthVersionLast="47" xr6:coauthVersionMax="47" xr10:uidLastSave="{00000000-0000-0000-0000-000000000000}"/>
  <bookViews>
    <workbookView xWindow="2140" yWindow="760" windowWidth="27060" windowHeight="15680" xr2:uid="{6F74EC91-8AC5-C745-95E5-0FAC69F47B96}"/>
  </bookViews>
  <sheets>
    <sheet name="Inputs and Outputs" sheetId="13" r:id="rId1"/>
    <sheet name="Avocado" sheetId="9" r:id="rId2"/>
    <sheet name="Blackberries" sheetId="15" r:id="rId3"/>
    <sheet name="Bananas" sheetId="17" r:id="rId4"/>
    <sheet name="Strawberries" sheetId="16" r:id="rId5"/>
    <sheet name="Spinach" sheetId="23" r:id="rId6"/>
    <sheet name="Blueberries" sheetId="22" r:id="rId7"/>
    <sheet name="Onion" sheetId="21" r:id="rId8"/>
    <sheet name="Grapes" sheetId="20" r:id="rId9"/>
    <sheet name="Test" sheetId="14" r:id="rId10"/>
  </sheets>
  <definedNames>
    <definedName name="OpenSolver_ChosenSolver" localSheetId="1" hidden="1">CBC</definedName>
    <definedName name="OpenSolver_ChosenSolver" localSheetId="3" hidden="1">CBC</definedName>
    <definedName name="OpenSolver_ChosenSolver" localSheetId="2" hidden="1">CBC</definedName>
    <definedName name="OpenSolver_ChosenSolver" localSheetId="6" hidden="1">CBC</definedName>
    <definedName name="OpenSolver_ChosenSolver" localSheetId="8" hidden="1">CBC</definedName>
    <definedName name="OpenSolver_ChosenSolver" localSheetId="7" hidden="1">CBC</definedName>
    <definedName name="OpenSolver_ChosenSolver" localSheetId="5" hidden="1">CBC</definedName>
    <definedName name="OpenSolver_ChosenSolver" localSheetId="4" hidden="1">CBC</definedName>
    <definedName name="OpenSolver_DualsNewSheet" localSheetId="1" hidden="1">0</definedName>
    <definedName name="OpenSolver_DualsNewSheet" localSheetId="3" hidden="1">0</definedName>
    <definedName name="OpenSolver_DualsNewSheet" localSheetId="2" hidden="1">0</definedName>
    <definedName name="OpenSolver_DualsNewSheet" localSheetId="6" hidden="1">0</definedName>
    <definedName name="OpenSolver_DualsNewSheet" localSheetId="8" hidden="1">0</definedName>
    <definedName name="OpenSolver_DualsNewSheet" localSheetId="7" hidden="1">0</definedName>
    <definedName name="OpenSolver_DualsNewSheet" localSheetId="5" hidden="1">0</definedName>
    <definedName name="OpenSolver_DualsNewSheet" localSheetId="4" hidden="1">0</definedName>
    <definedName name="OpenSolver_LinearityCheck" localSheetId="1" hidden="1">1</definedName>
    <definedName name="OpenSolver_LinearityCheck" localSheetId="3" hidden="1">1</definedName>
    <definedName name="OpenSolver_LinearityCheck" localSheetId="2" hidden="1">1</definedName>
    <definedName name="OpenSolver_LinearityCheck" localSheetId="6" hidden="1">1</definedName>
    <definedName name="OpenSolver_LinearityCheck" localSheetId="8" hidden="1">1</definedName>
    <definedName name="OpenSolver_LinearityCheck" localSheetId="7" hidden="1">1</definedName>
    <definedName name="OpenSolver_LinearityCheck" localSheetId="5" hidden="1">1</definedName>
    <definedName name="OpenSolver_LinearityCheck" localSheetId="4" hidden="1">1</definedName>
    <definedName name="OpenSolver_UpdateSensitivity" localSheetId="1" hidden="1">1</definedName>
    <definedName name="OpenSolver_UpdateSensitivity" localSheetId="3" hidden="1">1</definedName>
    <definedName name="OpenSolver_UpdateSensitivity" localSheetId="2" hidden="1">1</definedName>
    <definedName name="OpenSolver_UpdateSensitivity" localSheetId="6" hidden="1">1</definedName>
    <definedName name="OpenSolver_UpdateSensitivity" localSheetId="8" hidden="1">1</definedName>
    <definedName name="OpenSolver_UpdateSensitivity" localSheetId="7" hidden="1">1</definedName>
    <definedName name="OpenSolver_UpdateSensitivity" localSheetId="5" hidden="1">1</definedName>
    <definedName name="OpenSolver_UpdateSensitivity" localSheetId="4" hidden="1">1</definedName>
    <definedName name="solver_adj" localSheetId="1" hidden="1">Avocado!$G$7:$AJ$7</definedName>
    <definedName name="solver_adj" localSheetId="3" hidden="1">Bananas!$G$7:$AJ$7</definedName>
    <definedName name="solver_adj" localSheetId="2" hidden="1">Blackberries!$G$7:$AJ$7</definedName>
    <definedName name="solver_adj" localSheetId="6" hidden="1">Blueberries!$G$7:$AJ$7</definedName>
    <definedName name="solver_adj" localSheetId="8" hidden="1">Grapes!$G$7:$AJ$7</definedName>
    <definedName name="solver_adj" localSheetId="7" hidden="1">Onion!$G$7:$AJ$7</definedName>
    <definedName name="solver_adj" localSheetId="5" hidden="1">Spinach!$G$7:$AJ$7</definedName>
    <definedName name="solver_adj" localSheetId="4" hidden="1">Strawberries!$G$7:$AJ$7</definedName>
    <definedName name="solver_cvg" localSheetId="1" hidden="1">0.0001</definedName>
    <definedName name="solver_cvg" localSheetId="3" hidden="1">0.0001</definedName>
    <definedName name="solver_cvg" localSheetId="2" hidden="1">0.0001</definedName>
    <definedName name="solver_cvg" localSheetId="6" hidden="1">0.0001</definedName>
    <definedName name="solver_cvg" localSheetId="8" hidden="1">0.0001</definedName>
    <definedName name="solver_cvg" localSheetId="7" hidden="1">0.0001</definedName>
    <definedName name="solver_cvg" localSheetId="5" hidden="1">0.0001</definedName>
    <definedName name="solver_cvg" localSheetId="4" hidden="1">0.0001</definedName>
    <definedName name="solver_drv" localSheetId="1" hidden="1">2</definedName>
    <definedName name="solver_drv" localSheetId="3" hidden="1">2</definedName>
    <definedName name="solver_drv" localSheetId="2" hidden="1">2</definedName>
    <definedName name="solver_drv" localSheetId="6" hidden="1">2</definedName>
    <definedName name="solver_drv" localSheetId="8" hidden="1">2</definedName>
    <definedName name="solver_drv" localSheetId="7" hidden="1">2</definedName>
    <definedName name="solver_drv" localSheetId="5" hidden="1">2</definedName>
    <definedName name="solver_drv" localSheetId="4" hidden="1">2</definedName>
    <definedName name="solver_eng" localSheetId="1" hidden="1">1</definedName>
    <definedName name="solver_eng" localSheetId="3" hidden="1">1</definedName>
    <definedName name="solver_eng" localSheetId="2" hidden="1">1</definedName>
    <definedName name="solver_eng" localSheetId="6" hidden="1">1</definedName>
    <definedName name="solver_eng" localSheetId="8" hidden="1">1</definedName>
    <definedName name="solver_eng" localSheetId="7" hidden="1">1</definedName>
    <definedName name="solver_eng" localSheetId="5" hidden="1">1</definedName>
    <definedName name="solver_eng" localSheetId="4" hidden="1">1</definedName>
    <definedName name="solver_est" localSheetId="1" hidden="1">1</definedName>
    <definedName name="solver_est" localSheetId="3" hidden="1">1</definedName>
    <definedName name="solver_est" localSheetId="2" hidden="1">1</definedName>
    <definedName name="solver_est" localSheetId="6" hidden="1">1</definedName>
    <definedName name="solver_est" localSheetId="8" hidden="1">1</definedName>
    <definedName name="solver_est" localSheetId="7" hidden="1">1</definedName>
    <definedName name="solver_est" localSheetId="5" hidden="1">1</definedName>
    <definedName name="solver_est" localSheetId="4" hidden="1">1</definedName>
    <definedName name="solver_itr" localSheetId="1" hidden="1">2147483647</definedName>
    <definedName name="solver_itr" localSheetId="3" hidden="1">2147483647</definedName>
    <definedName name="solver_itr" localSheetId="2" hidden="1">2147483647</definedName>
    <definedName name="solver_itr" localSheetId="6" hidden="1">2147483647</definedName>
    <definedName name="solver_itr" localSheetId="8" hidden="1">2147483647</definedName>
    <definedName name="solver_itr" localSheetId="7" hidden="1">2147483647</definedName>
    <definedName name="solver_itr" localSheetId="5" hidden="1">2147483647</definedName>
    <definedName name="solver_itr" localSheetId="4" hidden="1">2147483647</definedName>
    <definedName name="solver_lhs1" localSheetId="1" hidden="1">Avocado!$AK$29:$AK$58</definedName>
    <definedName name="solver_lhs1" localSheetId="3" hidden="1">Bananas!$AK$29:$AK$58</definedName>
    <definedName name="solver_lhs1" localSheetId="2" hidden="1">Blackberries!$AK$29:$AK$58</definedName>
    <definedName name="solver_lhs1" localSheetId="6" hidden="1">Blueberries!$AK$29:$AK$58</definedName>
    <definedName name="solver_lhs1" localSheetId="8" hidden="1">Grapes!$AK$29:$AK$58</definedName>
    <definedName name="solver_lhs1" localSheetId="7" hidden="1">Onion!$AK$29:$AK$58</definedName>
    <definedName name="solver_lhs1" localSheetId="5" hidden="1">Spinach!$AK$29:$AK$58</definedName>
    <definedName name="solver_lhs1" localSheetId="4" hidden="1">Strawberries!$AK$29:$AK$58</definedName>
    <definedName name="solver_lhs2" localSheetId="1" hidden="1">Avocado!$AK$7</definedName>
    <definedName name="solver_lhs2" localSheetId="3" hidden="1">Bananas!$AK$7</definedName>
    <definedName name="solver_lhs2" localSheetId="2" hidden="1">Blackberries!$AK$7</definedName>
    <definedName name="solver_lhs2" localSheetId="6" hidden="1">Blueberries!$AK$7</definedName>
    <definedName name="solver_lhs2" localSheetId="8" hidden="1">Grapes!$AK$7</definedName>
    <definedName name="solver_lhs2" localSheetId="7" hidden="1">Onion!$AK$7</definedName>
    <definedName name="solver_lhs2" localSheetId="5" hidden="1">Spinach!$AK$7</definedName>
    <definedName name="solver_lhs2" localSheetId="4" hidden="1">Strawberries!$AK$7</definedName>
    <definedName name="solver_lhs3" localSheetId="1" hidden="1">Avocado!$G$19:$AJ$19</definedName>
    <definedName name="solver_lhs3" localSheetId="3" hidden="1">Bananas!$G$19:$AJ$19</definedName>
    <definedName name="solver_lhs3" localSheetId="2" hidden="1">Blackberries!$G$19:$AJ$19</definedName>
    <definedName name="solver_lhs3" localSheetId="6" hidden="1">Blueberries!$G$19:$AJ$19</definedName>
    <definedName name="solver_lhs3" localSheetId="8" hidden="1">Grapes!$G$19:$AJ$19</definedName>
    <definedName name="solver_lhs3" localSheetId="7" hidden="1">Onion!$G$19:$AJ$19</definedName>
    <definedName name="solver_lhs3" localSheetId="5" hidden="1">Spinach!$G$19:$AJ$19</definedName>
    <definedName name="solver_lhs3" localSheetId="4" hidden="1">Strawberries!$G$19:$AJ$19</definedName>
    <definedName name="solver_lhs4" localSheetId="1" hidden="1">Avocado!$G$7:$AJ$7</definedName>
    <definedName name="solver_lhs4" localSheetId="3" hidden="1">Bananas!$G$7:$AJ$7</definedName>
    <definedName name="solver_lhs4" localSheetId="2" hidden="1">Blackberries!$G$7:$AJ$7</definedName>
    <definedName name="solver_lhs4" localSheetId="6" hidden="1">Blueberries!$G$7:$AJ$7</definedName>
    <definedName name="solver_lhs4" localSheetId="8" hidden="1">Grapes!$G$7:$AJ$7</definedName>
    <definedName name="solver_lhs4" localSheetId="7" hidden="1">Onion!$G$7:$AJ$7</definedName>
    <definedName name="solver_lhs4" localSheetId="5" hidden="1">Spinach!$G$7:$AJ$7</definedName>
    <definedName name="solver_lhs4" localSheetId="4" hidden="1">Strawberries!$G$7:$AJ$7</definedName>
    <definedName name="solver_lhs5" localSheetId="1" hidden="1">Avocado!$G$7:$AH$7</definedName>
    <definedName name="solver_lhs5" localSheetId="3" hidden="1">Bananas!$G$7:$AH$7</definedName>
    <definedName name="solver_lhs5" localSheetId="2" hidden="1">Blackberries!$G$7:$AH$7</definedName>
    <definedName name="solver_lhs5" localSheetId="6" hidden="1">Blueberries!$G$7:$AH$7</definedName>
    <definedName name="solver_lhs5" localSheetId="8" hidden="1">Grapes!$G$7:$AH$7</definedName>
    <definedName name="solver_lhs5" localSheetId="7" hidden="1">Onion!$G$7:$AH$7</definedName>
    <definedName name="solver_lhs5" localSheetId="5" hidden="1">Spinach!$G$7:$AH$7</definedName>
    <definedName name="solver_lhs5" localSheetId="4" hidden="1">Strawberries!$G$7:$AH$7</definedName>
    <definedName name="solver_lin" localSheetId="1" hidden="1">2</definedName>
    <definedName name="solver_lin" localSheetId="3" hidden="1">2</definedName>
    <definedName name="solver_lin" localSheetId="2" hidden="1">2</definedName>
    <definedName name="solver_lin" localSheetId="6" hidden="1">2</definedName>
    <definedName name="solver_lin" localSheetId="8" hidden="1">2</definedName>
    <definedName name="solver_lin" localSheetId="7" hidden="1">2</definedName>
    <definedName name="solver_lin" localSheetId="5" hidden="1">2</definedName>
    <definedName name="solver_lin" localSheetId="4" hidden="1">2</definedName>
    <definedName name="solver_mip" localSheetId="1" hidden="1">2147483647</definedName>
    <definedName name="solver_mip" localSheetId="3" hidden="1">2147483647</definedName>
    <definedName name="solver_mip" localSheetId="2" hidden="1">2147483647</definedName>
    <definedName name="solver_mip" localSheetId="6" hidden="1">2147483647</definedName>
    <definedName name="solver_mip" localSheetId="8" hidden="1">2147483647</definedName>
    <definedName name="solver_mip" localSheetId="7" hidden="1">2147483647</definedName>
    <definedName name="solver_mip" localSheetId="5" hidden="1">2147483647</definedName>
    <definedName name="solver_mip" localSheetId="4" hidden="1">2147483647</definedName>
    <definedName name="solver_mni" localSheetId="1" hidden="1">30</definedName>
    <definedName name="solver_mni" localSheetId="3" hidden="1">30</definedName>
    <definedName name="solver_mni" localSheetId="2" hidden="1">30</definedName>
    <definedName name="solver_mni" localSheetId="6" hidden="1">30</definedName>
    <definedName name="solver_mni" localSheetId="8" hidden="1">30</definedName>
    <definedName name="solver_mni" localSheetId="7" hidden="1">30</definedName>
    <definedName name="solver_mni" localSheetId="5" hidden="1">30</definedName>
    <definedName name="solver_mni" localSheetId="4" hidden="1">30</definedName>
    <definedName name="solver_mrt" localSheetId="1" hidden="1">0.075</definedName>
    <definedName name="solver_mrt" localSheetId="3" hidden="1">0.075</definedName>
    <definedName name="solver_mrt" localSheetId="2" hidden="1">0.075</definedName>
    <definedName name="solver_mrt" localSheetId="6" hidden="1">0.075</definedName>
    <definedName name="solver_mrt" localSheetId="8" hidden="1">0.075</definedName>
    <definedName name="solver_mrt" localSheetId="7" hidden="1">0.075</definedName>
    <definedName name="solver_mrt" localSheetId="5" hidden="1">0.075</definedName>
    <definedName name="solver_mrt" localSheetId="4" hidden="1">0.075</definedName>
    <definedName name="solver_msl" localSheetId="1" hidden="1">2</definedName>
    <definedName name="solver_msl" localSheetId="3" hidden="1">2</definedName>
    <definedName name="solver_msl" localSheetId="2" hidden="1">2</definedName>
    <definedName name="solver_msl" localSheetId="6" hidden="1">2</definedName>
    <definedName name="solver_msl" localSheetId="8" hidden="1">2</definedName>
    <definedName name="solver_msl" localSheetId="7" hidden="1">2</definedName>
    <definedName name="solver_msl" localSheetId="5" hidden="1">2</definedName>
    <definedName name="solver_msl" localSheetId="4" hidden="1">2</definedName>
    <definedName name="solver_neg" localSheetId="1" hidden="1">1</definedName>
    <definedName name="solver_neg" localSheetId="3" hidden="1">1</definedName>
    <definedName name="solver_neg" localSheetId="2" hidden="1">1</definedName>
    <definedName name="solver_neg" localSheetId="6" hidden="1">1</definedName>
    <definedName name="solver_neg" localSheetId="8" hidden="1">1</definedName>
    <definedName name="solver_neg" localSheetId="7" hidden="1">1</definedName>
    <definedName name="solver_neg" localSheetId="5" hidden="1">1</definedName>
    <definedName name="solver_neg" localSheetId="4" hidden="1">1</definedName>
    <definedName name="solver_nod" localSheetId="1" hidden="1">2147483647</definedName>
    <definedName name="solver_nod" localSheetId="3" hidden="1">2147483647</definedName>
    <definedName name="solver_nod" localSheetId="2" hidden="1">2147483647</definedName>
    <definedName name="solver_nod" localSheetId="6" hidden="1">2147483647</definedName>
    <definedName name="solver_nod" localSheetId="8" hidden="1">2147483647</definedName>
    <definedName name="solver_nod" localSheetId="7" hidden="1">2147483647</definedName>
    <definedName name="solver_nod" localSheetId="5" hidden="1">2147483647</definedName>
    <definedName name="solver_nod" localSheetId="4" hidden="1">2147483647</definedName>
    <definedName name="solver_num" localSheetId="1" hidden="1">4</definedName>
    <definedName name="solver_num" localSheetId="3" hidden="1">4</definedName>
    <definedName name="solver_num" localSheetId="2" hidden="1">4</definedName>
    <definedName name="solver_num" localSheetId="6" hidden="1">4</definedName>
    <definedName name="solver_num" localSheetId="8" hidden="1">4</definedName>
    <definedName name="solver_num" localSheetId="7" hidden="1">4</definedName>
    <definedName name="solver_num" localSheetId="5" hidden="1">4</definedName>
    <definedName name="solver_num" localSheetId="4" hidden="1">4</definedName>
    <definedName name="solver_nwt" localSheetId="1" hidden="1">1</definedName>
    <definedName name="solver_nwt" localSheetId="3" hidden="1">1</definedName>
    <definedName name="solver_nwt" localSheetId="2" hidden="1">1</definedName>
    <definedName name="solver_nwt" localSheetId="6" hidden="1">1</definedName>
    <definedName name="solver_nwt" localSheetId="8" hidden="1">1</definedName>
    <definedName name="solver_nwt" localSheetId="7" hidden="1">1</definedName>
    <definedName name="solver_nwt" localSheetId="5" hidden="1">1</definedName>
    <definedName name="solver_nwt" localSheetId="4" hidden="1">1</definedName>
    <definedName name="solver_opt" localSheetId="1" hidden="1">Avocado!$AL$6</definedName>
    <definedName name="solver_opt" localSheetId="3" hidden="1">Bananas!$AL$6</definedName>
    <definedName name="solver_opt" localSheetId="2" hidden="1">Blackberries!$AL$6</definedName>
    <definedName name="solver_opt" localSheetId="6" hidden="1">Blueberries!$AL$6</definedName>
    <definedName name="solver_opt" localSheetId="8" hidden="1">Grapes!$AL$6</definedName>
    <definedName name="solver_opt" localSheetId="7" hidden="1">Onion!$AL$6</definedName>
    <definedName name="solver_opt" localSheetId="5" hidden="1">Spinach!$AL$6</definedName>
    <definedName name="solver_opt" localSheetId="4" hidden="1">Strawberries!$AL$6</definedName>
    <definedName name="solver_pre" localSheetId="1" hidden="1">0.000001</definedName>
    <definedName name="solver_pre" localSheetId="3" hidden="1">0.000001</definedName>
    <definedName name="solver_pre" localSheetId="2" hidden="1">0.000001</definedName>
    <definedName name="solver_pre" localSheetId="6" hidden="1">0.000001</definedName>
    <definedName name="solver_pre" localSheetId="8" hidden="1">0.000001</definedName>
    <definedName name="solver_pre" localSheetId="7" hidden="1">0.000001</definedName>
    <definedName name="solver_pre" localSheetId="5" hidden="1">0.000001</definedName>
    <definedName name="solver_pre" localSheetId="4" hidden="1">0.000001</definedName>
    <definedName name="solver_rbv" localSheetId="1" hidden="1">2</definedName>
    <definedName name="solver_rbv" localSheetId="3" hidden="1">2</definedName>
    <definedName name="solver_rbv" localSheetId="2" hidden="1">2</definedName>
    <definedName name="solver_rbv" localSheetId="6" hidden="1">2</definedName>
    <definedName name="solver_rbv" localSheetId="8" hidden="1">2</definedName>
    <definedName name="solver_rbv" localSheetId="7" hidden="1">2</definedName>
    <definedName name="solver_rbv" localSheetId="5" hidden="1">2</definedName>
    <definedName name="solver_rbv" localSheetId="4" hidden="1">2</definedName>
    <definedName name="solver_rel1" localSheetId="1" hidden="1">2</definedName>
    <definedName name="solver_rel1" localSheetId="3" hidden="1">2</definedName>
    <definedName name="solver_rel1" localSheetId="2" hidden="1">2</definedName>
    <definedName name="solver_rel1" localSheetId="6" hidden="1">2</definedName>
    <definedName name="solver_rel1" localSheetId="8" hidden="1">2</definedName>
    <definedName name="solver_rel1" localSheetId="7" hidden="1">2</definedName>
    <definedName name="solver_rel1" localSheetId="5" hidden="1">2</definedName>
    <definedName name="solver_rel1" localSheetId="4" hidden="1">2</definedName>
    <definedName name="solver_rel2" localSheetId="1" hidden="1">2</definedName>
    <definedName name="solver_rel2" localSheetId="3" hidden="1">2</definedName>
    <definedName name="solver_rel2" localSheetId="2" hidden="1">2</definedName>
    <definedName name="solver_rel2" localSheetId="6" hidden="1">2</definedName>
    <definedName name="solver_rel2" localSheetId="8" hidden="1">2</definedName>
    <definedName name="solver_rel2" localSheetId="7" hidden="1">2</definedName>
    <definedName name="solver_rel2" localSheetId="5" hidden="1">2</definedName>
    <definedName name="solver_rel2" localSheetId="4" hidden="1">2</definedName>
    <definedName name="solver_rel3" localSheetId="1" hidden="1">3</definedName>
    <definedName name="solver_rel3" localSheetId="3" hidden="1">3</definedName>
    <definedName name="solver_rel3" localSheetId="2" hidden="1">3</definedName>
    <definedName name="solver_rel3" localSheetId="6" hidden="1">3</definedName>
    <definedName name="solver_rel3" localSheetId="8" hidden="1">3</definedName>
    <definedName name="solver_rel3" localSheetId="7" hidden="1">3</definedName>
    <definedName name="solver_rel3" localSheetId="5" hidden="1">3</definedName>
    <definedName name="solver_rel3" localSheetId="4" hidden="1">3</definedName>
    <definedName name="solver_rel4" localSheetId="1" hidden="1">4</definedName>
    <definedName name="solver_rel4" localSheetId="3" hidden="1">4</definedName>
    <definedName name="solver_rel4" localSheetId="2" hidden="1">4</definedName>
    <definedName name="solver_rel4" localSheetId="6" hidden="1">4</definedName>
    <definedName name="solver_rel4" localSheetId="8" hidden="1">4</definedName>
    <definedName name="solver_rel4" localSheetId="7" hidden="1">4</definedName>
    <definedName name="solver_rel4" localSheetId="5" hidden="1">4</definedName>
    <definedName name="solver_rel4" localSheetId="4" hidden="1">4</definedName>
    <definedName name="solver_rel5" localSheetId="1" hidden="1">4</definedName>
    <definedName name="solver_rel5" localSheetId="3" hidden="1">4</definedName>
    <definedName name="solver_rel5" localSheetId="2" hidden="1">4</definedName>
    <definedName name="solver_rel5" localSheetId="6" hidden="1">4</definedName>
    <definedName name="solver_rel5" localSheetId="8" hidden="1">4</definedName>
    <definedName name="solver_rel5" localSheetId="7" hidden="1">4</definedName>
    <definedName name="solver_rel5" localSheetId="5" hidden="1">4</definedName>
    <definedName name="solver_rel5" localSheetId="4" hidden="1">4</definedName>
    <definedName name="solver_rhs1" localSheetId="1" hidden="1">Avocado!$AM$29:$AM$58</definedName>
    <definedName name="solver_rhs1" localSheetId="3" hidden="1">Bananas!$AM$29:$AM$58</definedName>
    <definedName name="solver_rhs1" localSheetId="2" hidden="1">Blackberries!$AM$29:$AM$58</definedName>
    <definedName name="solver_rhs1" localSheetId="6" hidden="1">Blueberries!$AM$29:$AM$58</definedName>
    <definedName name="solver_rhs1" localSheetId="8" hidden="1">Grapes!$AM$29:$AM$58</definedName>
    <definedName name="solver_rhs1" localSheetId="7" hidden="1">Onion!$AM$29:$AM$58</definedName>
    <definedName name="solver_rhs1" localSheetId="5" hidden="1">Spinach!$AM$29:$AM$58</definedName>
    <definedName name="solver_rhs1" localSheetId="4" hidden="1">Strawberries!$AM$29:$AM$58</definedName>
    <definedName name="solver_rhs2" localSheetId="1" hidden="1">Avocado!$AM$7</definedName>
    <definedName name="solver_rhs2" localSheetId="3" hidden="1">Bananas!$AM$7</definedName>
    <definedName name="solver_rhs2" localSheetId="2" hidden="1">Blackberries!$AM$7</definedName>
    <definedName name="solver_rhs2" localSheetId="6" hidden="1">Blueberries!$AM$7</definedName>
    <definedName name="solver_rhs2" localSheetId="8" hidden="1">Grapes!$AM$7</definedName>
    <definedName name="solver_rhs2" localSheetId="7" hidden="1">Onion!$AM$7</definedName>
    <definedName name="solver_rhs2" localSheetId="5" hidden="1">Spinach!$AM$7</definedName>
    <definedName name="solver_rhs2" localSheetId="4" hidden="1">Strawberries!$AM$7</definedName>
    <definedName name="solver_rhs3" localSheetId="1" hidden="1">Avocado!$AN$6:$BQ$6</definedName>
    <definedName name="solver_rhs3" localSheetId="3" hidden="1">Bananas!$AN$6:$BQ$6</definedName>
    <definedName name="solver_rhs3" localSheetId="2" hidden="1">Blackberries!$AN$6:$BQ$6</definedName>
    <definedName name="solver_rhs3" localSheetId="6" hidden="1">Blueberries!$AN$6:$BQ$6</definedName>
    <definedName name="solver_rhs3" localSheetId="8" hidden="1">Grapes!$AN$6:$BQ$6</definedName>
    <definedName name="solver_rhs3" localSheetId="7" hidden="1">Onion!$AN$6:$BQ$6</definedName>
    <definedName name="solver_rhs3" localSheetId="5" hidden="1">Spinach!$AN$6:$BQ$6</definedName>
    <definedName name="solver_rhs3" localSheetId="4" hidden="1">Strawberries!$AN$6:$BQ$6</definedName>
    <definedName name="solver_rhs4" localSheetId="1" hidden="1">"integer"</definedName>
    <definedName name="solver_rhs4" localSheetId="3" hidden="1">"integer"</definedName>
    <definedName name="solver_rhs4" localSheetId="2" hidden="1">"integer"</definedName>
    <definedName name="solver_rhs4" localSheetId="6" hidden="1">"integer"</definedName>
    <definedName name="solver_rhs4" localSheetId="8" hidden="1">"integer"</definedName>
    <definedName name="solver_rhs4" localSheetId="7" hidden="1">"integer"</definedName>
    <definedName name="solver_rhs4" localSheetId="5" hidden="1">"integer"</definedName>
    <definedName name="solver_rhs4" localSheetId="4" hidden="1">"integer"</definedName>
    <definedName name="solver_rhs5" localSheetId="1" hidden="1">"integer"</definedName>
    <definedName name="solver_rhs5" localSheetId="3" hidden="1">"integer"</definedName>
    <definedName name="solver_rhs5" localSheetId="2" hidden="1">"integer"</definedName>
    <definedName name="solver_rhs5" localSheetId="6" hidden="1">"integer"</definedName>
    <definedName name="solver_rhs5" localSheetId="8" hidden="1">"integer"</definedName>
    <definedName name="solver_rhs5" localSheetId="7" hidden="1">"integer"</definedName>
    <definedName name="solver_rhs5" localSheetId="5" hidden="1">"integer"</definedName>
    <definedName name="solver_rhs5" localSheetId="4" hidden="1">"integer"</definedName>
    <definedName name="solver_rlx" localSheetId="1" hidden="1">2</definedName>
    <definedName name="solver_rlx" localSheetId="3" hidden="1">2</definedName>
    <definedName name="solver_rlx" localSheetId="2" hidden="1">2</definedName>
    <definedName name="solver_rlx" localSheetId="6" hidden="1">2</definedName>
    <definedName name="solver_rlx" localSheetId="8" hidden="1">2</definedName>
    <definedName name="solver_rlx" localSheetId="7" hidden="1">2</definedName>
    <definedName name="solver_rlx" localSheetId="5" hidden="1">2</definedName>
    <definedName name="solver_rlx" localSheetId="4" hidden="1">2</definedName>
    <definedName name="solver_rsd" localSheetId="1" hidden="1">0</definedName>
    <definedName name="solver_rsd" localSheetId="3" hidden="1">0</definedName>
    <definedName name="solver_rsd" localSheetId="2" hidden="1">0</definedName>
    <definedName name="solver_rsd" localSheetId="6" hidden="1">0</definedName>
    <definedName name="solver_rsd" localSheetId="8" hidden="1">0</definedName>
    <definedName name="solver_rsd" localSheetId="7" hidden="1">0</definedName>
    <definedName name="solver_rsd" localSheetId="5" hidden="1">0</definedName>
    <definedName name="solver_rsd" localSheetId="4" hidden="1">0</definedName>
    <definedName name="solver_scl" localSheetId="1" hidden="1">2</definedName>
    <definedName name="solver_scl" localSheetId="3" hidden="1">2</definedName>
    <definedName name="solver_scl" localSheetId="2" hidden="1">2</definedName>
    <definedName name="solver_scl" localSheetId="6" hidden="1">2</definedName>
    <definedName name="solver_scl" localSheetId="8" hidden="1">2</definedName>
    <definedName name="solver_scl" localSheetId="7" hidden="1">2</definedName>
    <definedName name="solver_scl" localSheetId="5" hidden="1">2</definedName>
    <definedName name="solver_scl" localSheetId="4" hidden="1">2</definedName>
    <definedName name="solver_sho" localSheetId="1" hidden="1">2</definedName>
    <definedName name="solver_sho" localSheetId="3" hidden="1">2</definedName>
    <definedName name="solver_sho" localSheetId="2" hidden="1">2</definedName>
    <definedName name="solver_sho" localSheetId="6" hidden="1">2</definedName>
    <definedName name="solver_sho" localSheetId="8" hidden="1">2</definedName>
    <definedName name="solver_sho" localSheetId="7" hidden="1">2</definedName>
    <definedName name="solver_sho" localSheetId="5" hidden="1">2</definedName>
    <definedName name="solver_sho" localSheetId="4" hidden="1">2</definedName>
    <definedName name="solver_ssz" localSheetId="1" hidden="1">100</definedName>
    <definedName name="solver_ssz" localSheetId="3" hidden="1">100</definedName>
    <definedName name="solver_ssz" localSheetId="2" hidden="1">100</definedName>
    <definedName name="solver_ssz" localSheetId="6" hidden="1">100</definedName>
    <definedName name="solver_ssz" localSheetId="8" hidden="1">100</definedName>
    <definedName name="solver_ssz" localSheetId="7" hidden="1">100</definedName>
    <definedName name="solver_ssz" localSheetId="5" hidden="1">100</definedName>
    <definedName name="solver_ssz" localSheetId="4" hidden="1">100</definedName>
    <definedName name="solver_tim" localSheetId="1" hidden="1">60</definedName>
    <definedName name="solver_tim" localSheetId="3" hidden="1">60</definedName>
    <definedName name="solver_tim" localSheetId="2" hidden="1">60</definedName>
    <definedName name="solver_tim" localSheetId="6" hidden="1">60</definedName>
    <definedName name="solver_tim" localSheetId="8" hidden="1">60</definedName>
    <definedName name="solver_tim" localSheetId="7" hidden="1">60</definedName>
    <definedName name="solver_tim" localSheetId="5" hidden="1">60</definedName>
    <definedName name="solver_tim" localSheetId="4" hidden="1">60</definedName>
    <definedName name="solver_tol" localSheetId="1" hidden="1">0.01</definedName>
    <definedName name="solver_tol" localSheetId="3" hidden="1">0.01</definedName>
    <definedName name="solver_tol" localSheetId="2" hidden="1">0.01</definedName>
    <definedName name="solver_tol" localSheetId="6" hidden="1">0.01</definedName>
    <definedName name="solver_tol" localSheetId="8" hidden="1">0.01</definedName>
    <definedName name="solver_tol" localSheetId="7" hidden="1">0.01</definedName>
    <definedName name="solver_tol" localSheetId="5" hidden="1">0.01</definedName>
    <definedName name="solver_tol" localSheetId="4" hidden="1">0.01</definedName>
    <definedName name="solver_typ" localSheetId="1" hidden="1">2</definedName>
    <definedName name="solver_typ" localSheetId="3" hidden="1">2</definedName>
    <definedName name="solver_typ" localSheetId="2" hidden="1">2</definedName>
    <definedName name="solver_typ" localSheetId="6" hidden="1">2</definedName>
    <definedName name="solver_typ" localSheetId="8" hidden="1">2</definedName>
    <definedName name="solver_typ" localSheetId="7" hidden="1">2</definedName>
    <definedName name="solver_typ" localSheetId="5" hidden="1">2</definedName>
    <definedName name="solver_typ" localSheetId="4" hidden="1">2</definedName>
    <definedName name="solver_val" localSheetId="1" hidden="1">0</definedName>
    <definedName name="solver_val" localSheetId="3" hidden="1">0</definedName>
    <definedName name="solver_val" localSheetId="2" hidden="1">0</definedName>
    <definedName name="solver_val" localSheetId="6" hidden="1">0</definedName>
    <definedName name="solver_val" localSheetId="8" hidden="1">0</definedName>
    <definedName name="solver_val" localSheetId="7" hidden="1">0</definedName>
    <definedName name="solver_val" localSheetId="5" hidden="1">0</definedName>
    <definedName name="solver_val" localSheetId="4" hidden="1">0</definedName>
    <definedName name="solver_ver" localSheetId="1" hidden="1">2</definedName>
    <definedName name="solver_ver" localSheetId="3" hidden="1">2</definedName>
    <definedName name="solver_ver" localSheetId="2" hidden="1">2</definedName>
    <definedName name="solver_ver" localSheetId="6" hidden="1">2</definedName>
    <definedName name="solver_ver" localSheetId="8" hidden="1">2</definedName>
    <definedName name="solver_ver" localSheetId="7" hidden="1">2</definedName>
    <definedName name="solver_ver" localSheetId="5" hidden="1">2</definedName>
    <definedName name="solver_ver" localSheetId="4" hidden="1">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6" i="13" l="1"/>
  <c r="B13" i="13"/>
  <c r="B14" i="13"/>
  <c r="F22" i="13" l="1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E22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E21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E20" i="13"/>
  <c r="F19" i="13"/>
  <c r="G19" i="13"/>
  <c r="H19" i="13"/>
  <c r="I19" i="13"/>
  <c r="J19" i="13"/>
  <c r="K19" i="13"/>
  <c r="L19" i="13"/>
  <c r="M19" i="13"/>
  <c r="N19" i="13"/>
  <c r="O19" i="13"/>
  <c r="P19" i="13"/>
  <c r="Q19" i="13"/>
  <c r="R19" i="13"/>
  <c r="S19" i="13"/>
  <c r="T19" i="13"/>
  <c r="U19" i="13"/>
  <c r="V19" i="13"/>
  <c r="W19" i="13"/>
  <c r="X19" i="13"/>
  <c r="Y19" i="13"/>
  <c r="Z19" i="13"/>
  <c r="AA19" i="13"/>
  <c r="AB19" i="13"/>
  <c r="AC19" i="13"/>
  <c r="AD19" i="13"/>
  <c r="AE19" i="13"/>
  <c r="AF19" i="13"/>
  <c r="AG19" i="13"/>
  <c r="AH19" i="13"/>
  <c r="E19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E18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E17" i="13"/>
  <c r="E15" i="13"/>
  <c r="F16" i="13"/>
  <c r="G16" i="13"/>
  <c r="H16" i="13"/>
  <c r="I16" i="13"/>
  <c r="J16" i="13"/>
  <c r="K16" i="13"/>
  <c r="L16" i="13"/>
  <c r="M16" i="13"/>
  <c r="N16" i="13"/>
  <c r="O16" i="13"/>
  <c r="P16" i="13"/>
  <c r="Q16" i="13"/>
  <c r="R16" i="13"/>
  <c r="S16" i="13"/>
  <c r="T16" i="13"/>
  <c r="U16" i="13"/>
  <c r="V16" i="13"/>
  <c r="W16" i="13"/>
  <c r="X16" i="13"/>
  <c r="Y16" i="13"/>
  <c r="Z16" i="13"/>
  <c r="AA16" i="13"/>
  <c r="AB16" i="13"/>
  <c r="AC16" i="13"/>
  <c r="AD16" i="13"/>
  <c r="AE16" i="13"/>
  <c r="AF16" i="13"/>
  <c r="AG16" i="13"/>
  <c r="AH16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E16" i="13"/>
  <c r="I28" i="9" l="1"/>
  <c r="AM2" i="9"/>
  <c r="AK29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G3" i="9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V3" i="20"/>
  <c r="W3" i="20"/>
  <c r="X3" i="20"/>
  <c r="Y3" i="20"/>
  <c r="Z3" i="20"/>
  <c r="AA3" i="20"/>
  <c r="AB3" i="20"/>
  <c r="AC3" i="20"/>
  <c r="AD3" i="20"/>
  <c r="AE3" i="20"/>
  <c r="AF3" i="20"/>
  <c r="AG3" i="20"/>
  <c r="AH3" i="20"/>
  <c r="AI3" i="20"/>
  <c r="AJ3" i="20"/>
  <c r="G3" i="20"/>
  <c r="H3" i="21"/>
  <c r="I3" i="21"/>
  <c r="J3" i="21"/>
  <c r="K3" i="21"/>
  <c r="L3" i="21"/>
  <c r="M3" i="21"/>
  <c r="N3" i="21"/>
  <c r="O3" i="21"/>
  <c r="P3" i="21"/>
  <c r="Q3" i="21"/>
  <c r="R3" i="21"/>
  <c r="S3" i="21"/>
  <c r="T3" i="21"/>
  <c r="U3" i="21"/>
  <c r="V3" i="21"/>
  <c r="W3" i="21"/>
  <c r="X3" i="21"/>
  <c r="Y3" i="21"/>
  <c r="Z3" i="21"/>
  <c r="AA3" i="21"/>
  <c r="AB3" i="21"/>
  <c r="AC3" i="21"/>
  <c r="AD3" i="21"/>
  <c r="AE3" i="21"/>
  <c r="AF3" i="21"/>
  <c r="AG3" i="21"/>
  <c r="AH3" i="21"/>
  <c r="AI3" i="21"/>
  <c r="AJ3" i="21"/>
  <c r="G3" i="21"/>
  <c r="H3" i="22"/>
  <c r="I3" i="22"/>
  <c r="J3" i="22"/>
  <c r="K3" i="22"/>
  <c r="L3" i="22"/>
  <c r="M3" i="22"/>
  <c r="N3" i="22"/>
  <c r="O3" i="22"/>
  <c r="P3" i="22"/>
  <c r="Q3" i="22"/>
  <c r="R3" i="22"/>
  <c r="S3" i="22"/>
  <c r="T3" i="22"/>
  <c r="U3" i="22"/>
  <c r="V3" i="22"/>
  <c r="W3" i="22"/>
  <c r="X3" i="22"/>
  <c r="Y3" i="22"/>
  <c r="Z3" i="22"/>
  <c r="AA3" i="22"/>
  <c r="AB3" i="22"/>
  <c r="AC3" i="22"/>
  <c r="AD3" i="22"/>
  <c r="AE3" i="22"/>
  <c r="AF3" i="22"/>
  <c r="AG3" i="22"/>
  <c r="AH3" i="22"/>
  <c r="AI3" i="22"/>
  <c r="AJ3" i="22"/>
  <c r="G3" i="22"/>
  <c r="H3" i="23"/>
  <c r="I3" i="23"/>
  <c r="J3" i="23"/>
  <c r="K3" i="23"/>
  <c r="L3" i="23"/>
  <c r="M3" i="23"/>
  <c r="N3" i="23"/>
  <c r="O3" i="23"/>
  <c r="P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E3" i="23"/>
  <c r="AF3" i="23"/>
  <c r="AG3" i="23"/>
  <c r="AH3" i="23"/>
  <c r="AI3" i="23"/>
  <c r="AJ3" i="23"/>
  <c r="G3" i="23"/>
  <c r="H3" i="16"/>
  <c r="I3" i="16"/>
  <c r="J3" i="16"/>
  <c r="K3" i="16"/>
  <c r="L3" i="16"/>
  <c r="M3" i="16"/>
  <c r="N3" i="16"/>
  <c r="O3" i="16"/>
  <c r="P3" i="16"/>
  <c r="Q3" i="16"/>
  <c r="R3" i="16"/>
  <c r="S3" i="16"/>
  <c r="T3" i="16"/>
  <c r="U3" i="16"/>
  <c r="V3" i="16"/>
  <c r="W3" i="16"/>
  <c r="X3" i="16"/>
  <c r="Y3" i="16"/>
  <c r="Z3" i="16"/>
  <c r="AA3" i="16"/>
  <c r="AB3" i="16"/>
  <c r="AC3" i="16"/>
  <c r="AD3" i="16"/>
  <c r="AE3" i="16"/>
  <c r="AF3" i="16"/>
  <c r="AG3" i="16"/>
  <c r="AH3" i="16"/>
  <c r="AI3" i="16"/>
  <c r="AJ3" i="16"/>
  <c r="G3" i="16"/>
  <c r="H3" i="17"/>
  <c r="I3" i="17"/>
  <c r="J3" i="17"/>
  <c r="K3" i="17"/>
  <c r="L3" i="17"/>
  <c r="M3" i="17"/>
  <c r="N3" i="17"/>
  <c r="O3" i="17"/>
  <c r="P3" i="17"/>
  <c r="Q3" i="17"/>
  <c r="R3" i="17"/>
  <c r="S3" i="17"/>
  <c r="T3" i="17"/>
  <c r="U3" i="17"/>
  <c r="V3" i="17"/>
  <c r="W3" i="17"/>
  <c r="X3" i="17"/>
  <c r="Y3" i="17"/>
  <c r="Z3" i="17"/>
  <c r="AA3" i="17"/>
  <c r="AB3" i="17"/>
  <c r="AC3" i="17"/>
  <c r="AD3" i="17"/>
  <c r="AE3" i="17"/>
  <c r="AF3" i="17"/>
  <c r="AG3" i="17"/>
  <c r="AH3" i="17"/>
  <c r="AI3" i="17"/>
  <c r="AJ3" i="17"/>
  <c r="G3" i="17"/>
  <c r="H3" i="15"/>
  <c r="I3" i="15"/>
  <c r="J3" i="15"/>
  <c r="K3" i="15"/>
  <c r="L3" i="15"/>
  <c r="M3" i="15"/>
  <c r="N3" i="15"/>
  <c r="O3" i="15"/>
  <c r="P3" i="15"/>
  <c r="Q3" i="15"/>
  <c r="R3" i="15"/>
  <c r="S3" i="15"/>
  <c r="T3" i="15"/>
  <c r="U3" i="15"/>
  <c r="V3" i="15"/>
  <c r="W3" i="15"/>
  <c r="X3" i="15"/>
  <c r="Y3" i="15"/>
  <c r="Z3" i="15"/>
  <c r="AA3" i="15"/>
  <c r="AB3" i="15"/>
  <c r="AC3" i="15"/>
  <c r="AD3" i="15"/>
  <c r="AE3" i="15"/>
  <c r="AF3" i="15"/>
  <c r="AG3" i="15"/>
  <c r="AH3" i="15"/>
  <c r="AI3" i="15"/>
  <c r="AJ3" i="15"/>
  <c r="G3" i="15"/>
  <c r="H25" i="9"/>
  <c r="E14" i="13"/>
  <c r="E23" i="13" s="1"/>
  <c r="E27" i="13" s="1"/>
  <c r="D12" i="14"/>
  <c r="D6" i="14"/>
  <c r="G25" i="23"/>
  <c r="G19" i="23" s="1"/>
  <c r="H25" i="23"/>
  <c r="I25" i="23"/>
  <c r="J25" i="23"/>
  <c r="K25" i="23"/>
  <c r="L25" i="23"/>
  <c r="M25" i="23"/>
  <c r="N25" i="23"/>
  <c r="O25" i="23"/>
  <c r="P25" i="23"/>
  <c r="Q25" i="23"/>
  <c r="R25" i="23"/>
  <c r="S25" i="23"/>
  <c r="T25" i="23"/>
  <c r="U25" i="23"/>
  <c r="V25" i="23"/>
  <c r="W25" i="23"/>
  <c r="X25" i="23"/>
  <c r="Y25" i="23"/>
  <c r="Z25" i="23"/>
  <c r="AA25" i="23"/>
  <c r="AB25" i="23"/>
  <c r="AC25" i="23"/>
  <c r="AD25" i="23"/>
  <c r="AE25" i="23"/>
  <c r="AF25" i="23"/>
  <c r="AG25" i="23"/>
  <c r="AH25" i="23"/>
  <c r="AI25" i="23"/>
  <c r="AJ25" i="23"/>
  <c r="G22" i="23"/>
  <c r="H22" i="23" s="1"/>
  <c r="AM2" i="23"/>
  <c r="K1" i="23" s="1"/>
  <c r="L6" i="23" s="1"/>
  <c r="AK34" i="23" s="1"/>
  <c r="G25" i="22"/>
  <c r="G19" i="22" s="1"/>
  <c r="H25" i="22"/>
  <c r="I25" i="22"/>
  <c r="J25" i="22"/>
  <c r="K25" i="22"/>
  <c r="L25" i="22"/>
  <c r="M25" i="22"/>
  <c r="N25" i="22"/>
  <c r="O25" i="22"/>
  <c r="P25" i="22"/>
  <c r="Q25" i="22"/>
  <c r="R25" i="22"/>
  <c r="S25" i="22"/>
  <c r="T25" i="22"/>
  <c r="U25" i="22"/>
  <c r="V25" i="22"/>
  <c r="W25" i="22"/>
  <c r="X25" i="22"/>
  <c r="Y25" i="22"/>
  <c r="Z25" i="22"/>
  <c r="AA25" i="22"/>
  <c r="AB25" i="22"/>
  <c r="AC25" i="22"/>
  <c r="AD25" i="22"/>
  <c r="AE25" i="22"/>
  <c r="AF25" i="22"/>
  <c r="AG25" i="22"/>
  <c r="AH25" i="22"/>
  <c r="AI25" i="22"/>
  <c r="AJ25" i="22"/>
  <c r="G22" i="22"/>
  <c r="H22" i="22" s="1"/>
  <c r="AM2" i="22"/>
  <c r="M1" i="22" s="1"/>
  <c r="N6" i="22" s="1"/>
  <c r="N36" i="22" s="1"/>
  <c r="G25" i="21"/>
  <c r="G19" i="21" s="1"/>
  <c r="H25" i="21"/>
  <c r="I25" i="21"/>
  <c r="J25" i="21"/>
  <c r="K25" i="21"/>
  <c r="L25" i="21"/>
  <c r="M25" i="21"/>
  <c r="N25" i="21"/>
  <c r="O25" i="21"/>
  <c r="P25" i="21"/>
  <c r="Q25" i="21"/>
  <c r="R25" i="21"/>
  <c r="S25" i="21"/>
  <c r="T25" i="21"/>
  <c r="U25" i="21"/>
  <c r="V25" i="21"/>
  <c r="W25" i="21"/>
  <c r="X25" i="21"/>
  <c r="Y25" i="21"/>
  <c r="Z25" i="21"/>
  <c r="AA25" i="21"/>
  <c r="AB25" i="21"/>
  <c r="AC25" i="21"/>
  <c r="AD25" i="21"/>
  <c r="AE25" i="21"/>
  <c r="AF25" i="21"/>
  <c r="AG25" i="21"/>
  <c r="AH25" i="21"/>
  <c r="AI25" i="21"/>
  <c r="AJ25" i="21"/>
  <c r="G22" i="21"/>
  <c r="H22" i="21" s="1"/>
  <c r="I22" i="21" s="1"/>
  <c r="J22" i="21" s="1"/>
  <c r="K22" i="21" s="1"/>
  <c r="AM2" i="21"/>
  <c r="H1" i="21" s="1"/>
  <c r="I6" i="21" s="1"/>
  <c r="G25" i="20"/>
  <c r="G19" i="20" s="1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AA25" i="20"/>
  <c r="AB25" i="20"/>
  <c r="AC25" i="20"/>
  <c r="AD25" i="20"/>
  <c r="AE25" i="20"/>
  <c r="AF25" i="20"/>
  <c r="AG25" i="20"/>
  <c r="AH25" i="20"/>
  <c r="AI25" i="20"/>
  <c r="AJ25" i="20"/>
  <c r="G22" i="20"/>
  <c r="H22" i="20" s="1"/>
  <c r="I22" i="20" s="1"/>
  <c r="J22" i="20" s="1"/>
  <c r="K22" i="20" s="1"/>
  <c r="AM2" i="20"/>
  <c r="K1" i="20" s="1"/>
  <c r="L6" i="20" s="1"/>
  <c r="G25" i="17"/>
  <c r="G19" i="17" s="1"/>
  <c r="H25" i="17"/>
  <c r="I25" i="17"/>
  <c r="J25" i="17"/>
  <c r="K25" i="17"/>
  <c r="L25" i="17"/>
  <c r="M25" i="17"/>
  <c r="N25" i="17"/>
  <c r="O25" i="17"/>
  <c r="P25" i="17"/>
  <c r="Q25" i="17"/>
  <c r="R25" i="17"/>
  <c r="S25" i="17"/>
  <c r="T25" i="17"/>
  <c r="U25" i="17"/>
  <c r="V25" i="17"/>
  <c r="W25" i="17"/>
  <c r="X25" i="17"/>
  <c r="Y25" i="17"/>
  <c r="Z25" i="17"/>
  <c r="AA25" i="17"/>
  <c r="AB25" i="17"/>
  <c r="AC25" i="17"/>
  <c r="AD25" i="17"/>
  <c r="AE25" i="17"/>
  <c r="AF25" i="17"/>
  <c r="AG25" i="17"/>
  <c r="AH25" i="17"/>
  <c r="AI25" i="17"/>
  <c r="AJ25" i="17"/>
  <c r="G22" i="17"/>
  <c r="H22" i="17" s="1"/>
  <c r="AM2" i="17"/>
  <c r="M1" i="17" s="1"/>
  <c r="N6" i="17" s="1"/>
  <c r="N36" i="17" s="1"/>
  <c r="G25" i="16"/>
  <c r="G19" i="16" s="1"/>
  <c r="H25" i="16"/>
  <c r="I25" i="16"/>
  <c r="J25" i="16"/>
  <c r="K25" i="16"/>
  <c r="L25" i="16"/>
  <c r="M25" i="16"/>
  <c r="N25" i="16"/>
  <c r="O25" i="16"/>
  <c r="P25" i="16"/>
  <c r="Q25" i="16"/>
  <c r="R25" i="16"/>
  <c r="S25" i="16"/>
  <c r="T25" i="16"/>
  <c r="U25" i="16"/>
  <c r="V25" i="16"/>
  <c r="W25" i="16"/>
  <c r="X25" i="16"/>
  <c r="Y25" i="16"/>
  <c r="Z25" i="16"/>
  <c r="AA25" i="16"/>
  <c r="AB25" i="16"/>
  <c r="AC25" i="16"/>
  <c r="AD25" i="16"/>
  <c r="AE25" i="16"/>
  <c r="AF25" i="16"/>
  <c r="AG25" i="16"/>
  <c r="AH25" i="16"/>
  <c r="AI25" i="16"/>
  <c r="AJ25" i="16"/>
  <c r="G22" i="16"/>
  <c r="H22" i="16" s="1"/>
  <c r="I22" i="16" s="1"/>
  <c r="AM2" i="16"/>
  <c r="G1" i="16" s="1"/>
  <c r="H6" i="16" s="1"/>
  <c r="AK30" i="16" s="1"/>
  <c r="G25" i="15"/>
  <c r="H25" i="15"/>
  <c r="I25" i="15"/>
  <c r="J25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Y25" i="15"/>
  <c r="Z25" i="15"/>
  <c r="AA25" i="15"/>
  <c r="AB25" i="15"/>
  <c r="AC25" i="15"/>
  <c r="AD25" i="15"/>
  <c r="AE25" i="15"/>
  <c r="AF25" i="15"/>
  <c r="AG25" i="15"/>
  <c r="AH25" i="15"/>
  <c r="AI25" i="15"/>
  <c r="AJ25" i="15"/>
  <c r="G22" i="15"/>
  <c r="H22" i="15" s="1"/>
  <c r="I22" i="15" s="1"/>
  <c r="AM2" i="15"/>
  <c r="N1" i="15" s="1"/>
  <c r="O6" i="15" s="1"/>
  <c r="AI1" i="9"/>
  <c r="AJ6" i="9" s="1"/>
  <c r="F1" i="13"/>
  <c r="G14" i="13" s="1"/>
  <c r="G1" i="13"/>
  <c r="H14" i="13" s="1"/>
  <c r="H1" i="13"/>
  <c r="I14" i="13" s="1"/>
  <c r="I1" i="13"/>
  <c r="J14" i="13" s="1"/>
  <c r="J1" i="13"/>
  <c r="K14" i="13" s="1"/>
  <c r="K1" i="13"/>
  <c r="L14" i="13" s="1"/>
  <c r="L1" i="13"/>
  <c r="M14" i="13" s="1"/>
  <c r="M1" i="13"/>
  <c r="N14" i="13" s="1"/>
  <c r="N1" i="13"/>
  <c r="O14" i="13" s="1"/>
  <c r="O1" i="13"/>
  <c r="P14" i="13" s="1"/>
  <c r="P1" i="13"/>
  <c r="Q14" i="13" s="1"/>
  <c r="Q1" i="13"/>
  <c r="R14" i="13" s="1"/>
  <c r="R1" i="13"/>
  <c r="S14" i="13" s="1"/>
  <c r="S1" i="13"/>
  <c r="T14" i="13" s="1"/>
  <c r="T1" i="13"/>
  <c r="U14" i="13" s="1"/>
  <c r="U1" i="13"/>
  <c r="V14" i="13" s="1"/>
  <c r="V1" i="13"/>
  <c r="W14" i="13" s="1"/>
  <c r="W1" i="13"/>
  <c r="X14" i="13" s="1"/>
  <c r="X1" i="13"/>
  <c r="Y14" i="13" s="1"/>
  <c r="Y1" i="13"/>
  <c r="Z14" i="13" s="1"/>
  <c r="Z1" i="13"/>
  <c r="AA14" i="13" s="1"/>
  <c r="AA1" i="13"/>
  <c r="AB14" i="13" s="1"/>
  <c r="AB1" i="13"/>
  <c r="AC14" i="13" s="1"/>
  <c r="AC1" i="13"/>
  <c r="AD14" i="13" s="1"/>
  <c r="AD1" i="13"/>
  <c r="AE14" i="13" s="1"/>
  <c r="AE1" i="13"/>
  <c r="AF14" i="13" s="1"/>
  <c r="AF1" i="13"/>
  <c r="AG14" i="13" s="1"/>
  <c r="AG1" i="13"/>
  <c r="AH14" i="13" s="1"/>
  <c r="AH1" i="13"/>
  <c r="E1" i="13"/>
  <c r="F14" i="13" s="1"/>
  <c r="E1" i="14"/>
  <c r="F6" i="14" s="1"/>
  <c r="F1" i="14"/>
  <c r="G6" i="14" s="1"/>
  <c r="G1" i="14"/>
  <c r="H1" i="14"/>
  <c r="I1" i="14"/>
  <c r="J1" i="14"/>
  <c r="K1" i="14"/>
  <c r="L1" i="14"/>
  <c r="M1" i="14"/>
  <c r="N6" i="14" s="1"/>
  <c r="N1" i="14"/>
  <c r="O6" i="14" s="1"/>
  <c r="O1" i="14"/>
  <c r="P1" i="14"/>
  <c r="Q1" i="14"/>
  <c r="R1" i="14"/>
  <c r="S1" i="14"/>
  <c r="T1" i="14"/>
  <c r="U1" i="14"/>
  <c r="V6" i="14" s="1"/>
  <c r="V1" i="14"/>
  <c r="W6" i="14" s="1"/>
  <c r="W1" i="14"/>
  <c r="X1" i="14"/>
  <c r="Y1" i="14"/>
  <c r="Z1" i="14"/>
  <c r="AA1" i="14"/>
  <c r="AB1" i="14"/>
  <c r="AC1" i="14"/>
  <c r="AD6" i="14" s="1"/>
  <c r="AD1" i="14"/>
  <c r="AE6" i="14" s="1"/>
  <c r="AE1" i="14"/>
  <c r="AF1" i="14"/>
  <c r="AG1" i="14"/>
  <c r="D1" i="14"/>
  <c r="AI6" i="14"/>
  <c r="D3" i="14"/>
  <c r="D13" i="14" s="1"/>
  <c r="E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E6" i="14"/>
  <c r="H6" i="14"/>
  <c r="I6" i="14"/>
  <c r="J6" i="14"/>
  <c r="J12" i="14" s="1"/>
  <c r="K6" i="14"/>
  <c r="L6" i="14"/>
  <c r="M6" i="14"/>
  <c r="P6" i="14"/>
  <c r="P12" i="14" s="1"/>
  <c r="Q6" i="14"/>
  <c r="R6" i="14"/>
  <c r="S6" i="14"/>
  <c r="T6" i="14"/>
  <c r="U6" i="14"/>
  <c r="X6" i="14"/>
  <c r="Y6" i="14"/>
  <c r="Z6" i="14"/>
  <c r="AA6" i="14"/>
  <c r="AB6" i="14"/>
  <c r="AB12" i="14" s="1"/>
  <c r="AC6" i="14"/>
  <c r="AF6" i="14"/>
  <c r="AG6" i="14"/>
  <c r="AI25" i="9"/>
  <c r="AJ25" i="9"/>
  <c r="G19" i="15" l="1"/>
  <c r="H15" i="15" s="1"/>
  <c r="H28" i="15" s="1"/>
  <c r="E26" i="13"/>
  <c r="E37" i="13" s="1"/>
  <c r="E38" i="13"/>
  <c r="E29" i="13"/>
  <c r="E40" i="13" s="1"/>
  <c r="AK36" i="22"/>
  <c r="F23" i="13"/>
  <c r="F31" i="13" s="1"/>
  <c r="F42" i="13" s="1"/>
  <c r="AM7" i="9"/>
  <c r="AH1" i="9"/>
  <c r="AI6" i="9" s="1"/>
  <c r="AK57" i="9" s="1"/>
  <c r="G1" i="9"/>
  <c r="H6" i="9" s="1"/>
  <c r="H15" i="22"/>
  <c r="H28" i="22" s="1"/>
  <c r="E32" i="13"/>
  <c r="E43" i="13" s="1"/>
  <c r="E31" i="13"/>
  <c r="E42" i="13" s="1"/>
  <c r="E30" i="13"/>
  <c r="E41" i="13" s="1"/>
  <c r="E28" i="13"/>
  <c r="E39" i="13" s="1"/>
  <c r="E33" i="13"/>
  <c r="E44" i="13" s="1"/>
  <c r="G23" i="13"/>
  <c r="G26" i="13" s="1"/>
  <c r="X1" i="22"/>
  <c r="Y6" i="22" s="1"/>
  <c r="Y13" i="22" s="1"/>
  <c r="AM47" i="22" s="1"/>
  <c r="H1" i="22"/>
  <c r="I6" i="22" s="1"/>
  <c r="I13" i="22" s="1"/>
  <c r="AM31" i="22" s="1"/>
  <c r="H15" i="23"/>
  <c r="H28" i="23" s="1"/>
  <c r="P1" i="22"/>
  <c r="Q6" i="22" s="1"/>
  <c r="Q13" i="22" s="1"/>
  <c r="AM39" i="22" s="1"/>
  <c r="H19" i="21"/>
  <c r="I19" i="21" s="1"/>
  <c r="J19" i="21" s="1"/>
  <c r="K19" i="21" s="1"/>
  <c r="L1" i="17"/>
  <c r="M6" i="17" s="1"/>
  <c r="M13" i="17" s="1"/>
  <c r="AM35" i="17" s="1"/>
  <c r="E12" i="14"/>
  <c r="AM7" i="20"/>
  <c r="G6" i="21"/>
  <c r="AJ1" i="21"/>
  <c r="S1" i="16"/>
  <c r="T6" i="16" s="1"/>
  <c r="AK42" i="16" s="1"/>
  <c r="G6" i="9"/>
  <c r="K1" i="16"/>
  <c r="L6" i="16" s="1"/>
  <c r="L13" i="16" s="1"/>
  <c r="AM34" i="16" s="1"/>
  <c r="W1" i="21"/>
  <c r="X6" i="21" s="1"/>
  <c r="AK46" i="21" s="1"/>
  <c r="AJ1" i="9"/>
  <c r="L1" i="21"/>
  <c r="M6" i="21" s="1"/>
  <c r="M13" i="21" s="1"/>
  <c r="AM35" i="21" s="1"/>
  <c r="J13" i="14"/>
  <c r="AM7" i="15"/>
  <c r="AM7" i="21"/>
  <c r="AM7" i="17"/>
  <c r="R1" i="16"/>
  <c r="S6" i="16" s="1"/>
  <c r="AK41" i="16" s="1"/>
  <c r="AA1" i="21"/>
  <c r="AB6" i="21" s="1"/>
  <c r="AB13" i="21" s="1"/>
  <c r="AM50" i="21" s="1"/>
  <c r="L13" i="23"/>
  <c r="AM34" i="23" s="1"/>
  <c r="AK34" i="20"/>
  <c r="L13" i="20"/>
  <c r="AM34" i="20" s="1"/>
  <c r="G6" i="15"/>
  <c r="G6" i="17"/>
  <c r="AJ1" i="17"/>
  <c r="Y1" i="17"/>
  <c r="Z6" i="17" s="1"/>
  <c r="AK48" i="17" s="1"/>
  <c r="K1" i="17"/>
  <c r="L6" i="17" s="1"/>
  <c r="L13" i="17" s="1"/>
  <c r="AM34" i="17" s="1"/>
  <c r="AC1" i="20"/>
  <c r="AD6" i="20" s="1"/>
  <c r="AK52" i="20" s="1"/>
  <c r="Z1" i="21"/>
  <c r="AA6" i="21" s="1"/>
  <c r="AK49" i="21" s="1"/>
  <c r="K1" i="21"/>
  <c r="L6" i="21" s="1"/>
  <c r="AK34" i="21" s="1"/>
  <c r="H15" i="16"/>
  <c r="H28" i="16" s="1"/>
  <c r="AI1" i="17"/>
  <c r="AJ6" i="17" s="1"/>
  <c r="AJ13" i="17" s="1"/>
  <c r="AM58" i="17" s="1"/>
  <c r="X1" i="17"/>
  <c r="Y6" i="17" s="1"/>
  <c r="AK47" i="17" s="1"/>
  <c r="J1" i="17"/>
  <c r="K6" i="17" s="1"/>
  <c r="AK33" i="17" s="1"/>
  <c r="AB1" i="20"/>
  <c r="AC6" i="20" s="1"/>
  <c r="AK51" i="20" s="1"/>
  <c r="J1" i="21"/>
  <c r="K6" i="21" s="1"/>
  <c r="AK33" i="21" s="1"/>
  <c r="J1" i="16"/>
  <c r="K6" i="16" s="1"/>
  <c r="AH1" i="17"/>
  <c r="AI6" i="17" s="1"/>
  <c r="T1" i="17"/>
  <c r="U6" i="17" s="1"/>
  <c r="I1" i="17"/>
  <c r="J6" i="17" s="1"/>
  <c r="AK32" i="17" s="1"/>
  <c r="AA1" i="20"/>
  <c r="AB6" i="20" s="1"/>
  <c r="AB50" i="20" s="1"/>
  <c r="AI1" i="21"/>
  <c r="AJ6" i="21" s="1"/>
  <c r="AJ13" i="21" s="1"/>
  <c r="AM58" i="21" s="1"/>
  <c r="V1" i="21"/>
  <c r="W6" i="21" s="1"/>
  <c r="AK45" i="21" s="1"/>
  <c r="AI1" i="16"/>
  <c r="AJ6" i="16" s="1"/>
  <c r="AK58" i="16" s="1"/>
  <c r="H15" i="17"/>
  <c r="AG1" i="17"/>
  <c r="AH6" i="17" s="1"/>
  <c r="AK56" i="17" s="1"/>
  <c r="S1" i="17"/>
  <c r="T6" i="17" s="1"/>
  <c r="T13" i="17" s="1"/>
  <c r="AM42" i="17" s="1"/>
  <c r="H1" i="17"/>
  <c r="I6" i="17" s="1"/>
  <c r="AK31" i="17" s="1"/>
  <c r="U1" i="20"/>
  <c r="V6" i="20" s="1"/>
  <c r="AK44" i="20" s="1"/>
  <c r="AH1" i="21"/>
  <c r="AI6" i="21" s="1"/>
  <c r="AI13" i="21" s="1"/>
  <c r="AM57" i="21" s="1"/>
  <c r="T1" i="21"/>
  <c r="U6" i="21" s="1"/>
  <c r="G6" i="23"/>
  <c r="G29" i="23" s="1"/>
  <c r="AK29" i="23" s="1"/>
  <c r="AD1" i="23"/>
  <c r="AE6" i="23" s="1"/>
  <c r="AK53" i="23" s="1"/>
  <c r="AH1" i="16"/>
  <c r="AI6" i="16" s="1"/>
  <c r="AF1" i="17"/>
  <c r="AG6" i="17" s="1"/>
  <c r="AG13" i="17" s="1"/>
  <c r="AM55" i="17" s="1"/>
  <c r="R1" i="17"/>
  <c r="S6" i="17" s="1"/>
  <c r="AK41" i="17" s="1"/>
  <c r="H19" i="17"/>
  <c r="H15" i="20"/>
  <c r="H28" i="20" s="1"/>
  <c r="T1" i="20"/>
  <c r="U6" i="20" s="1"/>
  <c r="AE1" i="21"/>
  <c r="AF6" i="21" s="1"/>
  <c r="S1" i="21"/>
  <c r="T6" i="21" s="1"/>
  <c r="AK42" i="21" s="1"/>
  <c r="V1" i="23"/>
  <c r="W6" i="23" s="1"/>
  <c r="Z1" i="17"/>
  <c r="AA6" i="17" s="1"/>
  <c r="AK49" i="17" s="1"/>
  <c r="AA1" i="16"/>
  <c r="AB6" i="16" s="1"/>
  <c r="AB1" i="17"/>
  <c r="AC6" i="17" s="1"/>
  <c r="AC13" i="17" s="1"/>
  <c r="AM51" i="17" s="1"/>
  <c r="Q1" i="17"/>
  <c r="R6" i="17" s="1"/>
  <c r="AK40" i="17" s="1"/>
  <c r="AD1" i="21"/>
  <c r="AE6" i="21" s="1"/>
  <c r="AK53" i="21" s="1"/>
  <c r="R1" i="21"/>
  <c r="S6" i="21" s="1"/>
  <c r="S13" i="21" s="1"/>
  <c r="AM41" i="21" s="1"/>
  <c r="N1" i="23"/>
  <c r="O6" i="23" s="1"/>
  <c r="O13" i="23" s="1"/>
  <c r="AM37" i="23" s="1"/>
  <c r="Z1" i="16"/>
  <c r="AA6" i="16" s="1"/>
  <c r="AA1" i="17"/>
  <c r="AB6" i="17" s="1"/>
  <c r="P1" i="17"/>
  <c r="Q6" i="17" s="1"/>
  <c r="AK39" i="17" s="1"/>
  <c r="H19" i="20"/>
  <c r="AB1" i="21"/>
  <c r="AC6" i="21" s="1"/>
  <c r="AK51" i="21" s="1"/>
  <c r="N1" i="21"/>
  <c r="O6" i="21" s="1"/>
  <c r="AK37" i="21" s="1"/>
  <c r="AF1" i="22"/>
  <c r="AG6" i="22" s="1"/>
  <c r="Q12" i="14"/>
  <c r="P13" i="14"/>
  <c r="AK37" i="15"/>
  <c r="O13" i="15"/>
  <c r="AM37" i="15" s="1"/>
  <c r="AC12" i="14"/>
  <c r="AB13" i="14"/>
  <c r="F12" i="14"/>
  <c r="E13" i="14"/>
  <c r="AC1" i="15"/>
  <c r="AD6" i="15" s="1"/>
  <c r="U1" i="15"/>
  <c r="V6" i="15" s="1"/>
  <c r="M1" i="15"/>
  <c r="N6" i="15" s="1"/>
  <c r="N36" i="15" s="1"/>
  <c r="AM7" i="16"/>
  <c r="AJ1" i="15"/>
  <c r="AB1" i="15"/>
  <c r="AC6" i="15" s="1"/>
  <c r="T1" i="15"/>
  <c r="U6" i="15" s="1"/>
  <c r="U43" i="15" s="1"/>
  <c r="L1" i="15"/>
  <c r="M6" i="15" s="1"/>
  <c r="J22" i="15"/>
  <c r="L22" i="20"/>
  <c r="AI1" i="15"/>
  <c r="AJ6" i="15" s="1"/>
  <c r="AA1" i="15"/>
  <c r="AB6" i="15" s="1"/>
  <c r="AB50" i="15" s="1"/>
  <c r="S1" i="15"/>
  <c r="T6" i="15" s="1"/>
  <c r="K1" i="15"/>
  <c r="L6" i="15" s="1"/>
  <c r="AK36" i="17"/>
  <c r="N13" i="17"/>
  <c r="AM36" i="17" s="1"/>
  <c r="AH1" i="15"/>
  <c r="AI6" i="15" s="1"/>
  <c r="AI57" i="15" s="1"/>
  <c r="Z1" i="15"/>
  <c r="AA6" i="15" s="1"/>
  <c r="R1" i="15"/>
  <c r="S6" i="15" s="1"/>
  <c r="J1" i="15"/>
  <c r="K6" i="15" s="1"/>
  <c r="AG1" i="15"/>
  <c r="AH6" i="15" s="1"/>
  <c r="Y1" i="15"/>
  <c r="Z6" i="15" s="1"/>
  <c r="Q1" i="15"/>
  <c r="R6" i="15" s="1"/>
  <c r="I1" i="15"/>
  <c r="J6" i="15" s="1"/>
  <c r="AK34" i="16"/>
  <c r="AF1" i="15"/>
  <c r="AG6" i="15" s="1"/>
  <c r="X1" i="15"/>
  <c r="Y6" i="15" s="1"/>
  <c r="P1" i="15"/>
  <c r="Q6" i="15" s="1"/>
  <c r="H1" i="15"/>
  <c r="I6" i="15" s="1"/>
  <c r="AE1" i="15"/>
  <c r="AF6" i="15" s="1"/>
  <c r="W1" i="15"/>
  <c r="X6" i="15" s="1"/>
  <c r="O1" i="15"/>
  <c r="P6" i="15" s="1"/>
  <c r="G1" i="15"/>
  <c r="H6" i="15" s="1"/>
  <c r="H13" i="16"/>
  <c r="AM30" i="16" s="1"/>
  <c r="J22" i="16"/>
  <c r="AD1" i="15"/>
  <c r="AE6" i="15" s="1"/>
  <c r="V1" i="15"/>
  <c r="W6" i="15" s="1"/>
  <c r="H19" i="16"/>
  <c r="AK55" i="17"/>
  <c r="AD1" i="16"/>
  <c r="AE6" i="16" s="1"/>
  <c r="V1" i="16"/>
  <c r="W6" i="16" s="1"/>
  <c r="N1" i="16"/>
  <c r="O6" i="16" s="1"/>
  <c r="AK41" i="21"/>
  <c r="AC1" i="16"/>
  <c r="AD6" i="16" s="1"/>
  <c r="U1" i="16"/>
  <c r="V6" i="16" s="1"/>
  <c r="M1" i="16"/>
  <c r="N6" i="16" s="1"/>
  <c r="N36" i="16" s="1"/>
  <c r="I22" i="17"/>
  <c r="G6" i="16"/>
  <c r="G29" i="16" s="1"/>
  <c r="AJ1" i="16"/>
  <c r="AB1" i="16"/>
  <c r="AC6" i="16" s="1"/>
  <c r="T1" i="16"/>
  <c r="U6" i="16" s="1"/>
  <c r="U43" i="16" s="1"/>
  <c r="L1" i="16"/>
  <c r="M6" i="16" s="1"/>
  <c r="AK35" i="21"/>
  <c r="I13" i="21"/>
  <c r="AM31" i="21" s="1"/>
  <c r="AK31" i="21"/>
  <c r="AK34" i="17"/>
  <c r="AG1" i="16"/>
  <c r="AH6" i="16" s="1"/>
  <c r="Y1" i="16"/>
  <c r="Z6" i="16" s="1"/>
  <c r="Q1" i="16"/>
  <c r="R6" i="16" s="1"/>
  <c r="I1" i="16"/>
  <c r="J6" i="16" s="1"/>
  <c r="AE1" i="17"/>
  <c r="AF6" i="17" s="1"/>
  <c r="W1" i="17"/>
  <c r="X6" i="17" s="1"/>
  <c r="O1" i="17"/>
  <c r="P6" i="17" s="1"/>
  <c r="G1" i="17"/>
  <c r="H6" i="17" s="1"/>
  <c r="I1" i="20"/>
  <c r="J6" i="20" s="1"/>
  <c r="Q1" i="20"/>
  <c r="R6" i="20" s="1"/>
  <c r="Y1" i="20"/>
  <c r="Z6" i="20" s="1"/>
  <c r="AG1" i="20"/>
  <c r="AH6" i="20" s="1"/>
  <c r="J1" i="20"/>
  <c r="K6" i="20" s="1"/>
  <c r="R1" i="20"/>
  <c r="S6" i="20" s="1"/>
  <c r="Z1" i="20"/>
  <c r="AA6" i="20" s="1"/>
  <c r="AH1" i="20"/>
  <c r="AI6" i="20" s="1"/>
  <c r="AI57" i="20" s="1"/>
  <c r="N1" i="20"/>
  <c r="O6" i="20" s="1"/>
  <c r="V1" i="20"/>
  <c r="W6" i="20" s="1"/>
  <c r="AD1" i="20"/>
  <c r="AE6" i="20" s="1"/>
  <c r="G1" i="20"/>
  <c r="H6" i="20" s="1"/>
  <c r="O1" i="20"/>
  <c r="P6" i="20" s="1"/>
  <c r="W1" i="20"/>
  <c r="X6" i="20" s="1"/>
  <c r="AE1" i="20"/>
  <c r="AF6" i="20" s="1"/>
  <c r="H1" i="20"/>
  <c r="I6" i="20" s="1"/>
  <c r="P1" i="20"/>
  <c r="Q6" i="20" s="1"/>
  <c r="X1" i="20"/>
  <c r="Y6" i="20" s="1"/>
  <c r="AF1" i="20"/>
  <c r="AG6" i="20" s="1"/>
  <c r="S1" i="20"/>
  <c r="T6" i="20" s="1"/>
  <c r="L22" i="21"/>
  <c r="AF1" i="16"/>
  <c r="AG6" i="16" s="1"/>
  <c r="X1" i="16"/>
  <c r="Y6" i="16" s="1"/>
  <c r="P1" i="16"/>
  <c r="Q6" i="16" s="1"/>
  <c r="H1" i="16"/>
  <c r="I6" i="16" s="1"/>
  <c r="AD1" i="17"/>
  <c r="AE6" i="17" s="1"/>
  <c r="V1" i="17"/>
  <c r="W6" i="17" s="1"/>
  <c r="N1" i="17"/>
  <c r="O6" i="17" s="1"/>
  <c r="G6" i="20"/>
  <c r="G29" i="20" s="1"/>
  <c r="AJ1" i="20"/>
  <c r="M1" i="20"/>
  <c r="N6" i="20" s="1"/>
  <c r="N36" i="20" s="1"/>
  <c r="AE1" i="16"/>
  <c r="AF6" i="16" s="1"/>
  <c r="W1" i="16"/>
  <c r="X6" i="16" s="1"/>
  <c r="O1" i="16"/>
  <c r="P6" i="16" s="1"/>
  <c r="AC1" i="17"/>
  <c r="AD6" i="17" s="1"/>
  <c r="U1" i="17"/>
  <c r="V6" i="17" s="1"/>
  <c r="AI1" i="20"/>
  <c r="AJ6" i="20" s="1"/>
  <c r="L1" i="20"/>
  <c r="M6" i="20" s="1"/>
  <c r="H15" i="21"/>
  <c r="O1" i="21"/>
  <c r="P6" i="21" s="1"/>
  <c r="G1" i="21"/>
  <c r="H6" i="21" s="1"/>
  <c r="AM7" i="22"/>
  <c r="AC1" i="21"/>
  <c r="AD6" i="21" s="1"/>
  <c r="U1" i="21"/>
  <c r="V6" i="21" s="1"/>
  <c r="M1" i="21"/>
  <c r="N6" i="21" s="1"/>
  <c r="N36" i="21" s="1"/>
  <c r="H19" i="22"/>
  <c r="I22" i="22"/>
  <c r="AM7" i="23"/>
  <c r="N13" i="22"/>
  <c r="AM36" i="22" s="1"/>
  <c r="AK55" i="22"/>
  <c r="AG13" i="22"/>
  <c r="AM55" i="22" s="1"/>
  <c r="I22" i="23"/>
  <c r="H19" i="23"/>
  <c r="AK47" i="22"/>
  <c r="AG1" i="21"/>
  <c r="AH6" i="21" s="1"/>
  <c r="Y1" i="21"/>
  <c r="Z6" i="21" s="1"/>
  <c r="Q1" i="21"/>
  <c r="R6" i="21" s="1"/>
  <c r="I1" i="21"/>
  <c r="J6" i="21" s="1"/>
  <c r="AK39" i="22"/>
  <c r="AK45" i="23"/>
  <c r="W13" i="23"/>
  <c r="AM45" i="23" s="1"/>
  <c r="AF1" i="21"/>
  <c r="AG6" i="21" s="1"/>
  <c r="X1" i="21"/>
  <c r="Y6" i="21" s="1"/>
  <c r="P1" i="21"/>
  <c r="Q6" i="21" s="1"/>
  <c r="AK31" i="22"/>
  <c r="AK37" i="23"/>
  <c r="G6" i="22"/>
  <c r="G29" i="22" s="1"/>
  <c r="AJ1" i="22"/>
  <c r="AB1" i="22"/>
  <c r="AC6" i="22" s="1"/>
  <c r="T1" i="22"/>
  <c r="U6" i="22" s="1"/>
  <c r="U43" i="22" s="1"/>
  <c r="L1" i="22"/>
  <c r="M6" i="22" s="1"/>
  <c r="AH1" i="23"/>
  <c r="AI6" i="23" s="1"/>
  <c r="AI57" i="23" s="1"/>
  <c r="Z1" i="23"/>
  <c r="AA6" i="23" s="1"/>
  <c r="R1" i="23"/>
  <c r="S6" i="23" s="1"/>
  <c r="J1" i="23"/>
  <c r="K6" i="23" s="1"/>
  <c r="AI1" i="22"/>
  <c r="AJ6" i="22" s="1"/>
  <c r="AA1" i="22"/>
  <c r="AB6" i="22" s="1"/>
  <c r="AB50" i="22" s="1"/>
  <c r="S1" i="22"/>
  <c r="T6" i="22" s="1"/>
  <c r="K1" i="22"/>
  <c r="L6" i="22" s="1"/>
  <c r="AG1" i="23"/>
  <c r="AH6" i="23" s="1"/>
  <c r="Y1" i="23"/>
  <c r="Z6" i="23" s="1"/>
  <c r="Q1" i="23"/>
  <c r="R6" i="23" s="1"/>
  <c r="I1" i="23"/>
  <c r="J6" i="23" s="1"/>
  <c r="AH1" i="22"/>
  <c r="AI6" i="22" s="1"/>
  <c r="AI57" i="22" s="1"/>
  <c r="Z1" i="22"/>
  <c r="AA6" i="22" s="1"/>
  <c r="R1" i="22"/>
  <c r="S6" i="22" s="1"/>
  <c r="J1" i="22"/>
  <c r="K6" i="22" s="1"/>
  <c r="AF1" i="23"/>
  <c r="AG6" i="23" s="1"/>
  <c r="X1" i="23"/>
  <c r="Y6" i="23" s="1"/>
  <c r="P1" i="23"/>
  <c r="Q6" i="23" s="1"/>
  <c r="H1" i="23"/>
  <c r="I6" i="23" s="1"/>
  <c r="AG1" i="22"/>
  <c r="AH6" i="22" s="1"/>
  <c r="Y1" i="22"/>
  <c r="Z6" i="22" s="1"/>
  <c r="Q1" i="22"/>
  <c r="R6" i="22" s="1"/>
  <c r="I1" i="22"/>
  <c r="J6" i="22" s="1"/>
  <c r="AE1" i="23"/>
  <c r="AF6" i="23" s="1"/>
  <c r="W1" i="23"/>
  <c r="X6" i="23" s="1"/>
  <c r="O1" i="23"/>
  <c r="P6" i="23" s="1"/>
  <c r="G1" i="23"/>
  <c r="H6" i="23" s="1"/>
  <c r="AE1" i="22"/>
  <c r="AF6" i="22" s="1"/>
  <c r="W1" i="22"/>
  <c r="X6" i="22" s="1"/>
  <c r="O1" i="22"/>
  <c r="P6" i="22" s="1"/>
  <c r="G1" i="22"/>
  <c r="H6" i="22" s="1"/>
  <c r="AC1" i="23"/>
  <c r="AD6" i="23" s="1"/>
  <c r="U1" i="23"/>
  <c r="V6" i="23" s="1"/>
  <c r="M1" i="23"/>
  <c r="N6" i="23" s="1"/>
  <c r="N36" i="23" s="1"/>
  <c r="AD1" i="22"/>
  <c r="AE6" i="22" s="1"/>
  <c r="V1" i="22"/>
  <c r="W6" i="22" s="1"/>
  <c r="N1" i="22"/>
  <c r="O6" i="22" s="1"/>
  <c r="AJ1" i="23"/>
  <c r="AB1" i="23"/>
  <c r="AC6" i="23" s="1"/>
  <c r="T1" i="23"/>
  <c r="U6" i="23" s="1"/>
  <c r="U43" i="23" s="1"/>
  <c r="L1" i="23"/>
  <c r="M6" i="23" s="1"/>
  <c r="AC1" i="22"/>
  <c r="AD6" i="22" s="1"/>
  <c r="U1" i="22"/>
  <c r="V6" i="22" s="1"/>
  <c r="AI1" i="23"/>
  <c r="AJ6" i="23" s="1"/>
  <c r="AA1" i="23"/>
  <c r="AB6" i="23" s="1"/>
  <c r="AB50" i="23" s="1"/>
  <c r="S1" i="23"/>
  <c r="T6" i="23" s="1"/>
  <c r="AH7" i="14"/>
  <c r="AJ7" i="14"/>
  <c r="O1" i="9"/>
  <c r="AK58" i="9"/>
  <c r="AJ13" i="9"/>
  <c r="AM58" i="9" s="1"/>
  <c r="I15" i="20" l="1"/>
  <c r="I15" i="22"/>
  <c r="I28" i="22" s="1"/>
  <c r="I15" i="23"/>
  <c r="I28" i="23" s="1"/>
  <c r="W13" i="21"/>
  <c r="AM45" i="21" s="1"/>
  <c r="F32" i="13"/>
  <c r="F43" i="13" s="1"/>
  <c r="H19" i="15"/>
  <c r="H11" i="15" s="1"/>
  <c r="F30" i="13"/>
  <c r="F41" i="13" s="1"/>
  <c r="AI13" i="9"/>
  <c r="AM57" i="9" s="1"/>
  <c r="AM29" i="23"/>
  <c r="K13" i="21"/>
  <c r="AM33" i="21" s="1"/>
  <c r="AE13" i="21"/>
  <c r="AM53" i="21" s="1"/>
  <c r="K13" i="17"/>
  <c r="AM33" i="17" s="1"/>
  <c r="Y13" i="17"/>
  <c r="AM47" i="17" s="1"/>
  <c r="S13" i="16"/>
  <c r="AM41" i="16" s="1"/>
  <c r="U13" i="17"/>
  <c r="AM43" i="17" s="1"/>
  <c r="U43" i="17"/>
  <c r="AK43" i="17" s="1"/>
  <c r="G29" i="15"/>
  <c r="AK29" i="15" s="1"/>
  <c r="G29" i="13"/>
  <c r="G40" i="13" s="1"/>
  <c r="G27" i="13"/>
  <c r="G38" i="13" s="1"/>
  <c r="G37" i="13"/>
  <c r="F28" i="13"/>
  <c r="F39" i="13" s="1"/>
  <c r="F29" i="13"/>
  <c r="F40" i="13" s="1"/>
  <c r="F27" i="13"/>
  <c r="F38" i="13" s="1"/>
  <c r="F26" i="13"/>
  <c r="F37" i="13" s="1"/>
  <c r="AI57" i="17"/>
  <c r="AK57" i="17" s="1"/>
  <c r="AI57" i="16"/>
  <c r="AK57" i="16" s="1"/>
  <c r="U13" i="20"/>
  <c r="AM43" i="20" s="1"/>
  <c r="U43" i="20"/>
  <c r="AK43" i="20" s="1"/>
  <c r="U43" i="21"/>
  <c r="AK43" i="21" s="1"/>
  <c r="AB50" i="21"/>
  <c r="AK50" i="21" s="1"/>
  <c r="G29" i="21"/>
  <c r="AK29" i="21" s="1"/>
  <c r="AM29" i="21"/>
  <c r="AI57" i="21"/>
  <c r="AK57" i="21" s="1"/>
  <c r="AC13" i="20"/>
  <c r="AM51" i="20" s="1"/>
  <c r="AB13" i="17"/>
  <c r="AM50" i="17" s="1"/>
  <c r="AB50" i="17"/>
  <c r="AK50" i="17" s="1"/>
  <c r="AB13" i="16"/>
  <c r="AM50" i="16" s="1"/>
  <c r="AB50" i="16"/>
  <c r="AK50" i="16" s="1"/>
  <c r="G29" i="17"/>
  <c r="AK29" i="17" s="1"/>
  <c r="F33" i="13"/>
  <c r="F44" i="13" s="1"/>
  <c r="AK42" i="17"/>
  <c r="AC13" i="21"/>
  <c r="AM51" i="21" s="1"/>
  <c r="AI13" i="16"/>
  <c r="AM57" i="16" s="1"/>
  <c r="AK58" i="21"/>
  <c r="T13" i="16"/>
  <c r="AM42" i="16" s="1"/>
  <c r="V13" i="20"/>
  <c r="AM44" i="20" s="1"/>
  <c r="U13" i="21"/>
  <c r="AM43" i="21" s="1"/>
  <c r="AK35" i="17"/>
  <c r="H23" i="13"/>
  <c r="G32" i="13"/>
  <c r="G43" i="13" s="1"/>
  <c r="G28" i="13"/>
  <c r="G39" i="13" s="1"/>
  <c r="G30" i="13"/>
  <c r="G41" i="13" s="1"/>
  <c r="G33" i="13"/>
  <c r="G44" i="13" s="1"/>
  <c r="G31" i="13"/>
  <c r="G42" i="13" s="1"/>
  <c r="AK51" i="17"/>
  <c r="AJ13" i="16"/>
  <c r="AM58" i="16" s="1"/>
  <c r="AD13" i="20"/>
  <c r="AM52" i="20" s="1"/>
  <c r="AK58" i="17"/>
  <c r="S13" i="17"/>
  <c r="AM41" i="17" s="1"/>
  <c r="AM29" i="17"/>
  <c r="AA13" i="17"/>
  <c r="AM49" i="17" s="1"/>
  <c r="J13" i="17"/>
  <c r="AM32" i="17" s="1"/>
  <c r="H11" i="20"/>
  <c r="I15" i="16"/>
  <c r="I28" i="16" s="1"/>
  <c r="I19" i="20"/>
  <c r="J19" i="20" s="1"/>
  <c r="R13" i="17"/>
  <c r="AM40" i="17" s="1"/>
  <c r="Z13" i="17"/>
  <c r="AM48" i="17" s="1"/>
  <c r="H11" i="17"/>
  <c r="AE13" i="23"/>
  <c r="AM53" i="23" s="1"/>
  <c r="T13" i="21"/>
  <c r="AM42" i="21" s="1"/>
  <c r="AH13" i="17"/>
  <c r="AM56" i="17" s="1"/>
  <c r="X13" i="21"/>
  <c r="AM46" i="21" s="1"/>
  <c r="AI13" i="17"/>
  <c r="AM57" i="17" s="1"/>
  <c r="L13" i="21"/>
  <c r="AM34" i="21" s="1"/>
  <c r="H28" i="17"/>
  <c r="I15" i="17"/>
  <c r="I28" i="17" s="1"/>
  <c r="Q13" i="17"/>
  <c r="AM39" i="17" s="1"/>
  <c r="O13" i="21"/>
  <c r="AM37" i="21" s="1"/>
  <c r="H11" i="22"/>
  <c r="AK49" i="16"/>
  <c r="AA13" i="16"/>
  <c r="AM49" i="16" s="1"/>
  <c r="AK50" i="20"/>
  <c r="AB13" i="20"/>
  <c r="AM50" i="20" s="1"/>
  <c r="I19" i="16"/>
  <c r="J19" i="16" s="1"/>
  <c r="AK54" i="21"/>
  <c r="AF13" i="21"/>
  <c r="AM54" i="21" s="1"/>
  <c r="AK33" i="16"/>
  <c r="K13" i="16"/>
  <c r="AM33" i="16" s="1"/>
  <c r="AA13" i="21"/>
  <c r="AM49" i="21" s="1"/>
  <c r="I13" i="17"/>
  <c r="AM31" i="17" s="1"/>
  <c r="AM29" i="15"/>
  <c r="AK51" i="23"/>
  <c r="AC13" i="23"/>
  <c r="AM51" i="23" s="1"/>
  <c r="H13" i="22"/>
  <c r="AM30" i="22" s="1"/>
  <c r="AK30" i="22"/>
  <c r="AK32" i="22"/>
  <c r="J13" i="22"/>
  <c r="AM32" i="22" s="1"/>
  <c r="AK33" i="22"/>
  <c r="K13" i="22"/>
  <c r="AM33" i="22" s="1"/>
  <c r="AH13" i="23"/>
  <c r="AM56" i="23" s="1"/>
  <c r="AK56" i="23"/>
  <c r="AK57" i="23"/>
  <c r="AI13" i="23"/>
  <c r="AM57" i="23" s="1"/>
  <c r="P13" i="21"/>
  <c r="AM38" i="21" s="1"/>
  <c r="AK38" i="21"/>
  <c r="AK52" i="17"/>
  <c r="AD13" i="17"/>
  <c r="AM52" i="17" s="1"/>
  <c r="AK37" i="17"/>
  <c r="O13" i="17"/>
  <c r="AM37" i="17" s="1"/>
  <c r="AF13" i="20"/>
  <c r="AM54" i="20" s="1"/>
  <c r="AK54" i="20"/>
  <c r="AK49" i="20"/>
  <c r="AA13" i="20"/>
  <c r="AM49" i="20" s="1"/>
  <c r="P13" i="17"/>
  <c r="AM38" i="17" s="1"/>
  <c r="AK38" i="17"/>
  <c r="AK37" i="16"/>
  <c r="O13" i="16"/>
  <c r="AM37" i="16" s="1"/>
  <c r="AK45" i="15"/>
  <c r="W13" i="15"/>
  <c r="AM45" i="15" s="1"/>
  <c r="AF13" i="15"/>
  <c r="AM54" i="15" s="1"/>
  <c r="AK54" i="15"/>
  <c r="AK35" i="15"/>
  <c r="M13" i="15"/>
  <c r="AM35" i="15" s="1"/>
  <c r="G12" i="14"/>
  <c r="F13" i="14"/>
  <c r="AK42" i="23"/>
  <c r="T13" i="23"/>
  <c r="AM42" i="23" s="1"/>
  <c r="P13" i="22"/>
  <c r="AM38" i="22" s="1"/>
  <c r="AK38" i="22"/>
  <c r="AK40" i="22"/>
  <c r="R13" i="22"/>
  <c r="AM40" i="22" s="1"/>
  <c r="AK41" i="22"/>
  <c r="S13" i="22"/>
  <c r="AM41" i="22" s="1"/>
  <c r="L13" i="22"/>
  <c r="AM34" i="22" s="1"/>
  <c r="AK34" i="22"/>
  <c r="M13" i="22"/>
  <c r="AM35" i="22" s="1"/>
  <c r="AK35" i="22"/>
  <c r="AK32" i="21"/>
  <c r="J13" i="21"/>
  <c r="AM32" i="21" s="1"/>
  <c r="I19" i="22"/>
  <c r="J22" i="22"/>
  <c r="H28" i="21"/>
  <c r="H11" i="21"/>
  <c r="AK45" i="17"/>
  <c r="W13" i="17"/>
  <c r="AM45" i="17" s="1"/>
  <c r="X13" i="20"/>
  <c r="AM46" i="20" s="1"/>
  <c r="AK46" i="20"/>
  <c r="S13" i="20"/>
  <c r="AM41" i="20" s="1"/>
  <c r="AK41" i="20"/>
  <c r="X13" i="17"/>
  <c r="AM46" i="17" s="1"/>
  <c r="AK46" i="17"/>
  <c r="AK45" i="16"/>
  <c r="W13" i="16"/>
  <c r="AM45" i="16" s="1"/>
  <c r="AK53" i="15"/>
  <c r="AE13" i="15"/>
  <c r="AM53" i="15" s="1"/>
  <c r="K22" i="16"/>
  <c r="U13" i="15"/>
  <c r="AM43" i="15" s="1"/>
  <c r="AK43" i="15"/>
  <c r="AK50" i="23"/>
  <c r="AB13" i="23"/>
  <c r="AM50" i="23" s="1"/>
  <c r="AK37" i="22"/>
  <c r="O13" i="22"/>
  <c r="AM37" i="22" s="1"/>
  <c r="X13" i="22"/>
  <c r="AM46" i="22" s="1"/>
  <c r="AK46" i="22"/>
  <c r="AK48" i="22"/>
  <c r="Z13" i="22"/>
  <c r="AM48" i="22" s="1"/>
  <c r="AK49" i="22"/>
  <c r="AA13" i="22"/>
  <c r="AM49" i="22" s="1"/>
  <c r="T13" i="22"/>
  <c r="AM42" i="22" s="1"/>
  <c r="AK42" i="22"/>
  <c r="U13" i="22"/>
  <c r="AM43" i="22" s="1"/>
  <c r="AK43" i="22"/>
  <c r="Q13" i="21"/>
  <c r="AM39" i="21" s="1"/>
  <c r="AK39" i="21"/>
  <c r="AK40" i="21"/>
  <c r="R13" i="21"/>
  <c r="AM40" i="21" s="1"/>
  <c r="J22" i="23"/>
  <c r="I19" i="23"/>
  <c r="AK53" i="17"/>
  <c r="AE13" i="17"/>
  <c r="AM53" i="17" s="1"/>
  <c r="P13" i="20"/>
  <c r="AM38" i="20" s="1"/>
  <c r="AK38" i="20"/>
  <c r="AK33" i="20"/>
  <c r="K13" i="20"/>
  <c r="AM33" i="20" s="1"/>
  <c r="AF13" i="17"/>
  <c r="AM54" i="17" s="1"/>
  <c r="AK54" i="17"/>
  <c r="I19" i="17"/>
  <c r="J22" i="17"/>
  <c r="AK53" i="16"/>
  <c r="AE13" i="16"/>
  <c r="AM53" i="16" s="1"/>
  <c r="I28" i="20"/>
  <c r="AC13" i="15"/>
  <c r="AM51" i="15" s="1"/>
  <c r="AK51" i="15"/>
  <c r="AK58" i="23"/>
  <c r="AJ13" i="23"/>
  <c r="AM58" i="23" s="1"/>
  <c r="AK45" i="22"/>
  <c r="W13" i="22"/>
  <c r="AM45" i="22" s="1"/>
  <c r="AF13" i="22"/>
  <c r="AM54" i="22" s="1"/>
  <c r="AK54" i="22"/>
  <c r="AK56" i="22"/>
  <c r="AH13" i="22"/>
  <c r="AM56" i="22" s="1"/>
  <c r="AK57" i="22"/>
  <c r="AI13" i="22"/>
  <c r="AM57" i="22" s="1"/>
  <c r="AB13" i="22"/>
  <c r="AM50" i="22" s="1"/>
  <c r="AK50" i="22"/>
  <c r="AC13" i="22"/>
  <c r="AM51" i="22" s="1"/>
  <c r="AK51" i="22"/>
  <c r="Y13" i="21"/>
  <c r="AM47" i="21" s="1"/>
  <c r="AK47" i="21"/>
  <c r="AK48" i="21"/>
  <c r="Z13" i="21"/>
  <c r="AM48" i="21" s="1"/>
  <c r="H11" i="23"/>
  <c r="N13" i="21"/>
  <c r="AM36" i="21" s="1"/>
  <c r="AK36" i="21"/>
  <c r="AK31" i="16"/>
  <c r="I13" i="16"/>
  <c r="AM31" i="16" s="1"/>
  <c r="AK42" i="20"/>
  <c r="T13" i="20"/>
  <c r="AM42" i="20" s="1"/>
  <c r="H13" i="20"/>
  <c r="AM30" i="20" s="1"/>
  <c r="AK30" i="20"/>
  <c r="AK56" i="20"/>
  <c r="AH13" i="20"/>
  <c r="AM56" i="20" s="1"/>
  <c r="AK32" i="16"/>
  <c r="J13" i="16"/>
  <c r="AM32" i="16" s="1"/>
  <c r="M13" i="16"/>
  <c r="AM35" i="16" s="1"/>
  <c r="AK35" i="16"/>
  <c r="N13" i="16"/>
  <c r="AM36" i="16" s="1"/>
  <c r="AK36" i="16"/>
  <c r="AK31" i="15"/>
  <c r="I13" i="15"/>
  <c r="AM31" i="15" s="1"/>
  <c r="AK32" i="15"/>
  <c r="J13" i="15"/>
  <c r="AM32" i="15" s="1"/>
  <c r="H11" i="16"/>
  <c r="N13" i="15"/>
  <c r="AM36" i="15" s="1"/>
  <c r="AK36" i="15"/>
  <c r="AD12" i="14"/>
  <c r="AC13" i="14"/>
  <c r="AK44" i="22"/>
  <c r="V13" i="22"/>
  <c r="AM44" i="22" s="1"/>
  <c r="AK53" i="22"/>
  <c r="AE13" i="22"/>
  <c r="AM53" i="22" s="1"/>
  <c r="AK7" i="23"/>
  <c r="AK30" i="23"/>
  <c r="H13" i="23"/>
  <c r="AM30" i="23" s="1"/>
  <c r="I13" i="23"/>
  <c r="AM31" i="23" s="1"/>
  <c r="AK31" i="23"/>
  <c r="AJ13" i="22"/>
  <c r="AM58" i="22" s="1"/>
  <c r="AK58" i="22"/>
  <c r="AG13" i="21"/>
  <c r="AM55" i="21" s="1"/>
  <c r="AK55" i="21"/>
  <c r="AK56" i="21"/>
  <c r="AH13" i="21"/>
  <c r="AM56" i="21" s="1"/>
  <c r="V13" i="21"/>
  <c r="AM44" i="21" s="1"/>
  <c r="AK44" i="21"/>
  <c r="AK36" i="20"/>
  <c r="N13" i="20"/>
  <c r="AM36" i="20" s="1"/>
  <c r="AK39" i="16"/>
  <c r="Q13" i="16"/>
  <c r="AM39" i="16" s="1"/>
  <c r="AK55" i="20"/>
  <c r="AG13" i="20"/>
  <c r="AM55" i="20" s="1"/>
  <c r="AK53" i="20"/>
  <c r="AE13" i="20"/>
  <c r="AM53" i="20" s="1"/>
  <c r="AK48" i="20"/>
  <c r="Z13" i="20"/>
  <c r="AM48" i="20" s="1"/>
  <c r="AK40" i="16"/>
  <c r="R13" i="16"/>
  <c r="AM40" i="16" s="1"/>
  <c r="U13" i="16"/>
  <c r="AM43" i="16" s="1"/>
  <c r="AK43" i="16"/>
  <c r="V13" i="16"/>
  <c r="AM44" i="16" s="1"/>
  <c r="AK44" i="16"/>
  <c r="AK39" i="15"/>
  <c r="Q13" i="15"/>
  <c r="AM39" i="15" s="1"/>
  <c r="AK40" i="15"/>
  <c r="R13" i="15"/>
  <c r="AM40" i="15" s="1"/>
  <c r="AK33" i="15"/>
  <c r="K13" i="15"/>
  <c r="AM33" i="15" s="1"/>
  <c r="L13" i="15"/>
  <c r="AM34" i="15" s="1"/>
  <c r="AK34" i="15"/>
  <c r="M22" i="20"/>
  <c r="AK44" i="15"/>
  <c r="V13" i="15"/>
  <c r="AM44" i="15" s="1"/>
  <c r="N13" i="23"/>
  <c r="AM36" i="23" s="1"/>
  <c r="AK36" i="23"/>
  <c r="AK38" i="23"/>
  <c r="P13" i="23"/>
  <c r="AM38" i="23" s="1"/>
  <c r="Q13" i="23"/>
  <c r="AM39" i="23" s="1"/>
  <c r="AK39" i="23"/>
  <c r="J13" i="23"/>
  <c r="AM32" i="23" s="1"/>
  <c r="AK32" i="23"/>
  <c r="AK33" i="23"/>
  <c r="K13" i="23"/>
  <c r="AM33" i="23" s="1"/>
  <c r="AK29" i="22"/>
  <c r="AM29" i="22"/>
  <c r="AK7" i="22"/>
  <c r="AD13" i="21"/>
  <c r="AM52" i="21" s="1"/>
  <c r="AK52" i="21"/>
  <c r="AK35" i="20"/>
  <c r="M13" i="20"/>
  <c r="AM35" i="20" s="1"/>
  <c r="AK38" i="16"/>
  <c r="P13" i="16"/>
  <c r="AM38" i="16" s="1"/>
  <c r="AK47" i="16"/>
  <c r="Y13" i="16"/>
  <c r="AM47" i="16" s="1"/>
  <c r="AK47" i="20"/>
  <c r="Y13" i="20"/>
  <c r="AM47" i="20" s="1"/>
  <c r="AK45" i="20"/>
  <c r="W13" i="20"/>
  <c r="AM45" i="20" s="1"/>
  <c r="AK40" i="20"/>
  <c r="R13" i="20"/>
  <c r="AM40" i="20" s="1"/>
  <c r="AK48" i="16"/>
  <c r="Z13" i="16"/>
  <c r="AM48" i="16" s="1"/>
  <c r="AC13" i="16"/>
  <c r="AM51" i="16" s="1"/>
  <c r="AK51" i="16"/>
  <c r="AD13" i="16"/>
  <c r="AM52" i="16" s="1"/>
  <c r="AK52" i="16"/>
  <c r="AK30" i="15"/>
  <c r="H13" i="15"/>
  <c r="AM30" i="15" s="1"/>
  <c r="AK7" i="15"/>
  <c r="AK47" i="15"/>
  <c r="Y13" i="15"/>
  <c r="AM47" i="15" s="1"/>
  <c r="AK48" i="15"/>
  <c r="Z13" i="15"/>
  <c r="AM48" i="15" s="1"/>
  <c r="AK41" i="15"/>
  <c r="S13" i="15"/>
  <c r="AM41" i="15" s="1"/>
  <c r="T13" i="15"/>
  <c r="AM42" i="15" s="1"/>
  <c r="AK42" i="15"/>
  <c r="AK52" i="15"/>
  <c r="AD13" i="15"/>
  <c r="AM52" i="15" s="1"/>
  <c r="AK35" i="23"/>
  <c r="M13" i="23"/>
  <c r="AM35" i="23" s="1"/>
  <c r="V13" i="23"/>
  <c r="AM44" i="23" s="1"/>
  <c r="AK44" i="23"/>
  <c r="AK46" i="23"/>
  <c r="X13" i="23"/>
  <c r="AM46" i="23" s="1"/>
  <c r="Y13" i="23"/>
  <c r="AM47" i="23" s="1"/>
  <c r="AK47" i="23"/>
  <c r="R13" i="23"/>
  <c r="AM40" i="23" s="1"/>
  <c r="AK40" i="23"/>
  <c r="AK41" i="23"/>
  <c r="S13" i="23"/>
  <c r="AM41" i="23" s="1"/>
  <c r="AK58" i="20"/>
  <c r="AJ13" i="20"/>
  <c r="AM58" i="20" s="1"/>
  <c r="AK46" i="16"/>
  <c r="X13" i="16"/>
  <c r="AM46" i="16" s="1"/>
  <c r="AK29" i="20"/>
  <c r="AM29" i="20"/>
  <c r="AK7" i="20"/>
  <c r="AK55" i="16"/>
  <c r="AG13" i="16"/>
  <c r="AM55" i="16" s="1"/>
  <c r="AK39" i="20"/>
  <c r="Q13" i="20"/>
  <c r="AM39" i="20" s="1"/>
  <c r="AK37" i="20"/>
  <c r="O13" i="20"/>
  <c r="AM37" i="20" s="1"/>
  <c r="AK32" i="20"/>
  <c r="J13" i="20"/>
  <c r="AM32" i="20" s="1"/>
  <c r="AK56" i="16"/>
  <c r="AH13" i="16"/>
  <c r="AM56" i="16" s="1"/>
  <c r="I15" i="21"/>
  <c r="AK38" i="15"/>
  <c r="P13" i="15"/>
  <c r="AM38" i="15" s="1"/>
  <c r="AK55" i="15"/>
  <c r="AG13" i="15"/>
  <c r="AM55" i="15" s="1"/>
  <c r="AK56" i="15"/>
  <c r="AH13" i="15"/>
  <c r="AM56" i="15" s="1"/>
  <c r="AK49" i="15"/>
  <c r="AA13" i="15"/>
  <c r="AM49" i="15" s="1"/>
  <c r="AB13" i="15"/>
  <c r="AM50" i="15" s="1"/>
  <c r="AK50" i="15"/>
  <c r="AK52" i="22"/>
  <c r="AD13" i="22"/>
  <c r="AM52" i="22" s="1"/>
  <c r="AK43" i="23"/>
  <c r="U13" i="23"/>
  <c r="AM43" i="23" s="1"/>
  <c r="AD13" i="23"/>
  <c r="AM52" i="23" s="1"/>
  <c r="AK52" i="23"/>
  <c r="AK54" i="23"/>
  <c r="AF13" i="23"/>
  <c r="AM54" i="23" s="1"/>
  <c r="AG13" i="23"/>
  <c r="AM55" i="23" s="1"/>
  <c r="AK55" i="23"/>
  <c r="Z13" i="23"/>
  <c r="AM48" i="23" s="1"/>
  <c r="AK48" i="23"/>
  <c r="AK49" i="23"/>
  <c r="AA13" i="23"/>
  <c r="AM49" i="23" s="1"/>
  <c r="AK7" i="21"/>
  <c r="H13" i="21"/>
  <c r="AM30" i="21" s="1"/>
  <c r="AK30" i="21"/>
  <c r="AK44" i="17"/>
  <c r="V13" i="17"/>
  <c r="AM44" i="17" s="1"/>
  <c r="AK54" i="16"/>
  <c r="AF13" i="16"/>
  <c r="AM54" i="16" s="1"/>
  <c r="L19" i="21"/>
  <c r="M22" i="21"/>
  <c r="AK31" i="20"/>
  <c r="I13" i="20"/>
  <c r="AM31" i="20" s="1"/>
  <c r="AI13" i="20"/>
  <c r="AM57" i="20" s="1"/>
  <c r="AK57" i="20"/>
  <c r="H13" i="17"/>
  <c r="AM30" i="17" s="1"/>
  <c r="AK7" i="17"/>
  <c r="AK30" i="17"/>
  <c r="AK29" i="16"/>
  <c r="AM29" i="16"/>
  <c r="AK7" i="16"/>
  <c r="X13" i="15"/>
  <c r="AM46" i="15" s="1"/>
  <c r="AK46" i="15"/>
  <c r="AK57" i="15"/>
  <c r="AI13" i="15"/>
  <c r="AM57" i="15" s="1"/>
  <c r="AJ13" i="15"/>
  <c r="AM58" i="15" s="1"/>
  <c r="AK58" i="15"/>
  <c r="K22" i="15"/>
  <c r="R12" i="14"/>
  <c r="Q13" i="14"/>
  <c r="J15" i="20" l="1"/>
  <c r="J15" i="22"/>
  <c r="J15" i="23"/>
  <c r="I19" i="15"/>
  <c r="J19" i="15" s="1"/>
  <c r="I15" i="15"/>
  <c r="I28" i="15" s="1"/>
  <c r="H29" i="13"/>
  <c r="H40" i="13" s="1"/>
  <c r="H27" i="13"/>
  <c r="H38" i="13" s="1"/>
  <c r="H26" i="13"/>
  <c r="H37" i="13" s="1"/>
  <c r="I11" i="16"/>
  <c r="J15" i="16"/>
  <c r="I23" i="13"/>
  <c r="H32" i="13"/>
  <c r="H43" i="13" s="1"/>
  <c r="H31" i="13"/>
  <c r="H42" i="13" s="1"/>
  <c r="H30" i="13"/>
  <c r="H41" i="13" s="1"/>
  <c r="H28" i="13"/>
  <c r="H39" i="13" s="1"/>
  <c r="H33" i="13"/>
  <c r="H44" i="13" s="1"/>
  <c r="I11" i="20"/>
  <c r="J15" i="17"/>
  <c r="I11" i="17"/>
  <c r="AE12" i="14"/>
  <c r="AD13" i="14"/>
  <c r="K19" i="16"/>
  <c r="L22" i="16"/>
  <c r="K22" i="22"/>
  <c r="J19" i="22"/>
  <c r="K22" i="23"/>
  <c r="J19" i="23"/>
  <c r="S12" i="14"/>
  <c r="R13" i="14"/>
  <c r="I11" i="23"/>
  <c r="L22" i="15"/>
  <c r="I28" i="21"/>
  <c r="I11" i="21"/>
  <c r="J15" i="21"/>
  <c r="N22" i="20"/>
  <c r="K22" i="17"/>
  <c r="J19" i="17"/>
  <c r="G13" i="14"/>
  <c r="H12" i="14"/>
  <c r="N22" i="21"/>
  <c r="M19" i="21"/>
  <c r="I11" i="22"/>
  <c r="K19" i="20"/>
  <c r="J28" i="20" l="1"/>
  <c r="J11" i="20"/>
  <c r="K15" i="20"/>
  <c r="K28" i="20" s="1"/>
  <c r="J28" i="22"/>
  <c r="K15" i="22"/>
  <c r="K28" i="22" s="1"/>
  <c r="J28" i="23"/>
  <c r="K15" i="23"/>
  <c r="K28" i="23" s="1"/>
  <c r="J28" i="16"/>
  <c r="I11" i="15"/>
  <c r="J15" i="15"/>
  <c r="I27" i="13"/>
  <c r="I38" i="13" s="1"/>
  <c r="I26" i="13"/>
  <c r="I37" i="13" s="1"/>
  <c r="I29" i="13"/>
  <c r="I40" i="13" s="1"/>
  <c r="J11" i="16"/>
  <c r="J23" i="13"/>
  <c r="I33" i="13"/>
  <c r="I44" i="13" s="1"/>
  <c r="I28" i="13"/>
  <c r="I39" i="13" s="1"/>
  <c r="I31" i="13"/>
  <c r="I42" i="13" s="1"/>
  <c r="I30" i="13"/>
  <c r="I41" i="13" s="1"/>
  <c r="I32" i="13"/>
  <c r="I43" i="13" s="1"/>
  <c r="K15" i="16"/>
  <c r="K28" i="16" s="1"/>
  <c r="J11" i="17"/>
  <c r="K15" i="17"/>
  <c r="K28" i="17" s="1"/>
  <c r="J28" i="17"/>
  <c r="K19" i="23"/>
  <c r="L22" i="23"/>
  <c r="L19" i="20"/>
  <c r="AE13" i="14"/>
  <c r="AF12" i="14"/>
  <c r="L22" i="22"/>
  <c r="K19" i="22"/>
  <c r="J11" i="22"/>
  <c r="M22" i="16"/>
  <c r="L19" i="16"/>
  <c r="O22" i="20"/>
  <c r="J28" i="21"/>
  <c r="J11" i="21"/>
  <c r="K15" i="21"/>
  <c r="O22" i="21"/>
  <c r="N19" i="21"/>
  <c r="L22" i="17"/>
  <c r="K19" i="17"/>
  <c r="K19" i="15"/>
  <c r="J11" i="23"/>
  <c r="S13" i="14"/>
  <c r="T12" i="14"/>
  <c r="I12" i="14"/>
  <c r="H13" i="14"/>
  <c r="M22" i="15"/>
  <c r="K11" i="20" l="1"/>
  <c r="L15" i="20"/>
  <c r="L11" i="20" s="1"/>
  <c r="L15" i="22"/>
  <c r="L15" i="23"/>
  <c r="J28" i="15"/>
  <c r="J11" i="15"/>
  <c r="K15" i="15"/>
  <c r="K28" i="15" s="1"/>
  <c r="K11" i="23"/>
  <c r="J27" i="13"/>
  <c r="J38" i="13" s="1"/>
  <c r="J26" i="13"/>
  <c r="J37" i="13" s="1"/>
  <c r="J29" i="13"/>
  <c r="J40" i="13" s="1"/>
  <c r="L15" i="16"/>
  <c r="L28" i="16" s="1"/>
  <c r="K11" i="16"/>
  <c r="K23" i="13"/>
  <c r="J33" i="13"/>
  <c r="J44" i="13" s="1"/>
  <c r="J32" i="13"/>
  <c r="J43" i="13" s="1"/>
  <c r="J28" i="13"/>
  <c r="J39" i="13" s="1"/>
  <c r="J31" i="13"/>
  <c r="J42" i="13" s="1"/>
  <c r="J30" i="13"/>
  <c r="J41" i="13" s="1"/>
  <c r="L15" i="17"/>
  <c r="L28" i="17" s="1"/>
  <c r="L19" i="15"/>
  <c r="K11" i="17"/>
  <c r="M19" i="20"/>
  <c r="U12" i="14"/>
  <c r="T13" i="14"/>
  <c r="P22" i="21"/>
  <c r="O19" i="21"/>
  <c r="K28" i="21"/>
  <c r="K11" i="21"/>
  <c r="L15" i="21"/>
  <c r="M22" i="22"/>
  <c r="L19" i="22"/>
  <c r="N22" i="15"/>
  <c r="P22" i="20"/>
  <c r="AG12" i="14"/>
  <c r="AG13" i="14" s="1"/>
  <c r="AF13" i="14"/>
  <c r="M22" i="23"/>
  <c r="L19" i="23"/>
  <c r="K12" i="14"/>
  <c r="I13" i="14"/>
  <c r="M22" i="17"/>
  <c r="L19" i="17"/>
  <c r="N22" i="16"/>
  <c r="M19" i="16"/>
  <c r="K11" i="22"/>
  <c r="M15" i="20" l="1"/>
  <c r="N15" i="20" s="1"/>
  <c r="L28" i="20"/>
  <c r="L28" i="22"/>
  <c r="M15" i="22"/>
  <c r="L28" i="23"/>
  <c r="M15" i="23"/>
  <c r="M15" i="16"/>
  <c r="L15" i="15"/>
  <c r="K11" i="15"/>
  <c r="L11" i="16"/>
  <c r="K27" i="13"/>
  <c r="K38" i="13" s="1"/>
  <c r="K26" i="13"/>
  <c r="K37" i="13" s="1"/>
  <c r="K29" i="13"/>
  <c r="K40" i="13" s="1"/>
  <c r="L23" i="13"/>
  <c r="L26" i="13" s="1"/>
  <c r="K30" i="13"/>
  <c r="K41" i="13" s="1"/>
  <c r="K32" i="13"/>
  <c r="K43" i="13" s="1"/>
  <c r="K28" i="13"/>
  <c r="K39" i="13" s="1"/>
  <c r="K31" i="13"/>
  <c r="K42" i="13" s="1"/>
  <c r="K33" i="13"/>
  <c r="K44" i="13" s="1"/>
  <c r="M15" i="17"/>
  <c r="M28" i="17" s="1"/>
  <c r="L11" i="17"/>
  <c r="M19" i="15"/>
  <c r="K13" i="14"/>
  <c r="L12" i="14"/>
  <c r="V12" i="14"/>
  <c r="U13" i="14"/>
  <c r="N19" i="20"/>
  <c r="O22" i="16"/>
  <c r="N19" i="16"/>
  <c r="N22" i="23"/>
  <c r="M19" i="23"/>
  <c r="O22" i="15"/>
  <c r="Q22" i="21"/>
  <c r="P19" i="21"/>
  <c r="L11" i="23"/>
  <c r="N22" i="17"/>
  <c r="M19" i="17"/>
  <c r="M19" i="22"/>
  <c r="N22" i="22"/>
  <c r="L11" i="22"/>
  <c r="Q22" i="20"/>
  <c r="L28" i="21"/>
  <c r="L11" i="21"/>
  <c r="M15" i="21"/>
  <c r="M11" i="20" l="1"/>
  <c r="M28" i="20"/>
  <c r="M28" i="22"/>
  <c r="N15" i="22"/>
  <c r="N28" i="22" s="1"/>
  <c r="M28" i="23"/>
  <c r="N15" i="23"/>
  <c r="M28" i="16"/>
  <c r="N15" i="16"/>
  <c r="M11" i="16"/>
  <c r="L28" i="15"/>
  <c r="L11" i="15"/>
  <c r="M15" i="15"/>
  <c r="M28" i="15" s="1"/>
  <c r="L27" i="13"/>
  <c r="L38" i="13" s="1"/>
  <c r="L37" i="13"/>
  <c r="L29" i="13"/>
  <c r="L40" i="13" s="1"/>
  <c r="L31" i="13"/>
  <c r="L42" i="13" s="1"/>
  <c r="L32" i="13"/>
  <c r="L43" i="13" s="1"/>
  <c r="L33" i="13"/>
  <c r="L44" i="13" s="1"/>
  <c r="L30" i="13"/>
  <c r="L41" i="13" s="1"/>
  <c r="L28" i="13"/>
  <c r="L39" i="13" s="1"/>
  <c r="M23" i="13"/>
  <c r="M11" i="17"/>
  <c r="N15" i="17"/>
  <c r="N28" i="17" s="1"/>
  <c r="AM29" i="9"/>
  <c r="N19" i="15"/>
  <c r="M11" i="22"/>
  <c r="O15" i="20"/>
  <c r="O19" i="20"/>
  <c r="N28" i="20"/>
  <c r="N11" i="20"/>
  <c r="P22" i="15"/>
  <c r="M11" i="23"/>
  <c r="R22" i="20"/>
  <c r="W12" i="14"/>
  <c r="V13" i="14"/>
  <c r="N19" i="23"/>
  <c r="O22" i="23"/>
  <c r="P22" i="16"/>
  <c r="O19" i="16"/>
  <c r="O22" i="22"/>
  <c r="N19" i="22"/>
  <c r="M12" i="14"/>
  <c r="L13" i="14"/>
  <c r="O22" i="17"/>
  <c r="N19" i="17"/>
  <c r="M28" i="21"/>
  <c r="M11" i="21"/>
  <c r="N15" i="21"/>
  <c r="R22" i="21"/>
  <c r="Q19" i="21"/>
  <c r="O15" i="22" l="1"/>
  <c r="O15" i="23"/>
  <c r="N28" i="23"/>
  <c r="N28" i="16"/>
  <c r="O15" i="16"/>
  <c r="N11" i="16"/>
  <c r="N15" i="15"/>
  <c r="M11" i="15"/>
  <c r="O15" i="17"/>
  <c r="N23" i="13"/>
  <c r="N26" i="13" s="1"/>
  <c r="N37" i="13" s="1"/>
  <c r="M26" i="13"/>
  <c r="M37" i="13" s="1"/>
  <c r="N33" i="13"/>
  <c r="N44" i="13" s="1"/>
  <c r="O23" i="13"/>
  <c r="M27" i="13"/>
  <c r="M38" i="13" s="1"/>
  <c r="M29" i="13"/>
  <c r="M40" i="13" s="1"/>
  <c r="M32" i="13"/>
  <c r="M43" i="13" s="1"/>
  <c r="M31" i="13"/>
  <c r="M42" i="13" s="1"/>
  <c r="M30" i="13"/>
  <c r="M41" i="13" s="1"/>
  <c r="M33" i="13"/>
  <c r="M44" i="13" s="1"/>
  <c r="M28" i="13"/>
  <c r="M39" i="13" s="1"/>
  <c r="O19" i="15"/>
  <c r="N11" i="23"/>
  <c r="N11" i="17"/>
  <c r="P22" i="17"/>
  <c r="O19" i="17"/>
  <c r="W13" i="14"/>
  <c r="X12" i="14"/>
  <c r="O19" i="23"/>
  <c r="P22" i="23"/>
  <c r="S22" i="20"/>
  <c r="Q22" i="15"/>
  <c r="Q22" i="16"/>
  <c r="P19" i="16"/>
  <c r="N12" i="14"/>
  <c r="M13" i="14"/>
  <c r="P15" i="20"/>
  <c r="P19" i="20"/>
  <c r="P22" i="22"/>
  <c r="O19" i="22"/>
  <c r="S22" i="21"/>
  <c r="R19" i="21"/>
  <c r="N11" i="22"/>
  <c r="N11" i="21"/>
  <c r="N28" i="21"/>
  <c r="O15" i="21"/>
  <c r="O28" i="20"/>
  <c r="O11" i="20"/>
  <c r="I25" i="9"/>
  <c r="J25" i="9"/>
  <c r="K25" i="9"/>
  <c r="L25" i="9"/>
  <c r="M25" i="9"/>
  <c r="N25" i="9"/>
  <c r="O25" i="9"/>
  <c r="P25" i="9"/>
  <c r="Q25" i="9"/>
  <c r="R25" i="9"/>
  <c r="S25" i="9"/>
  <c r="T25" i="9"/>
  <c r="U25" i="9"/>
  <c r="V25" i="9"/>
  <c r="W25" i="9"/>
  <c r="X25" i="9"/>
  <c r="Y25" i="9"/>
  <c r="Z25" i="9"/>
  <c r="AA25" i="9"/>
  <c r="AB25" i="9"/>
  <c r="AC25" i="9"/>
  <c r="AD25" i="9"/>
  <c r="AE25" i="9"/>
  <c r="AF25" i="9"/>
  <c r="AG25" i="9"/>
  <c r="AH25" i="9"/>
  <c r="G25" i="9"/>
  <c r="G19" i="9" s="1"/>
  <c r="G22" i="9"/>
  <c r="H22" i="9" s="1"/>
  <c r="AG1" i="9"/>
  <c r="AH6" i="9" s="1"/>
  <c r="AH13" i="9" s="1"/>
  <c r="AM56" i="9" s="1"/>
  <c r="AF1" i="9"/>
  <c r="AG6" i="9" s="1"/>
  <c r="AG13" i="9" s="1"/>
  <c r="AM55" i="9" s="1"/>
  <c r="AE1" i="9"/>
  <c r="AF6" i="9" s="1"/>
  <c r="AF13" i="9" s="1"/>
  <c r="AM54" i="9" s="1"/>
  <c r="AD1" i="9"/>
  <c r="AE6" i="9" s="1"/>
  <c r="AE13" i="9" s="1"/>
  <c r="AM53" i="9" s="1"/>
  <c r="AC1" i="9"/>
  <c r="AD6" i="9" s="1"/>
  <c r="AD13" i="9" s="1"/>
  <c r="AM52" i="9" s="1"/>
  <c r="AB1" i="9"/>
  <c r="AC6" i="9" s="1"/>
  <c r="AC13" i="9" s="1"/>
  <c r="AM51" i="9" s="1"/>
  <c r="AA1" i="9"/>
  <c r="AB6" i="9" s="1"/>
  <c r="AB13" i="9" s="1"/>
  <c r="AM50" i="9" s="1"/>
  <c r="Z1" i="9"/>
  <c r="AA6" i="9" s="1"/>
  <c r="AA13" i="9" s="1"/>
  <c r="AM49" i="9" s="1"/>
  <c r="Y1" i="9"/>
  <c r="Z6" i="9" s="1"/>
  <c r="Z13" i="9" s="1"/>
  <c r="AM48" i="9" s="1"/>
  <c r="X1" i="9"/>
  <c r="Y6" i="9" s="1"/>
  <c r="Y13" i="9" s="1"/>
  <c r="AM47" i="9" s="1"/>
  <c r="W1" i="9"/>
  <c r="X6" i="9" s="1"/>
  <c r="X13" i="9" s="1"/>
  <c r="AM46" i="9" s="1"/>
  <c r="V1" i="9"/>
  <c r="W6" i="9" s="1"/>
  <c r="W13" i="9" s="1"/>
  <c r="AM45" i="9" s="1"/>
  <c r="U1" i="9"/>
  <c r="V6" i="9" s="1"/>
  <c r="V13" i="9" s="1"/>
  <c r="AM44" i="9" s="1"/>
  <c r="T1" i="9"/>
  <c r="U6" i="9" s="1"/>
  <c r="U13" i="9" s="1"/>
  <c r="AM43" i="9" s="1"/>
  <c r="S1" i="9"/>
  <c r="T6" i="9" s="1"/>
  <c r="T13" i="9" s="1"/>
  <c r="AM42" i="9" s="1"/>
  <c r="R1" i="9"/>
  <c r="S6" i="9" s="1"/>
  <c r="S13" i="9" s="1"/>
  <c r="AM41" i="9" s="1"/>
  <c r="Q1" i="9"/>
  <c r="R6" i="9" s="1"/>
  <c r="R13" i="9" s="1"/>
  <c r="AM40" i="9" s="1"/>
  <c r="P1" i="9"/>
  <c r="Q6" i="9" s="1"/>
  <c r="Q13" i="9" s="1"/>
  <c r="AM39" i="9" s="1"/>
  <c r="P6" i="9"/>
  <c r="P13" i="9" s="1"/>
  <c r="AM38" i="9" s="1"/>
  <c r="N1" i="9"/>
  <c r="O6" i="9" s="1"/>
  <c r="O13" i="9" s="1"/>
  <c r="AM37" i="9" s="1"/>
  <c r="M1" i="9"/>
  <c r="N6" i="9" s="1"/>
  <c r="N13" i="9" s="1"/>
  <c r="AM36" i="9" s="1"/>
  <c r="L1" i="9"/>
  <c r="M6" i="9" s="1"/>
  <c r="M13" i="9" s="1"/>
  <c r="AM35" i="9" s="1"/>
  <c r="K1" i="9"/>
  <c r="L6" i="9" s="1"/>
  <c r="L13" i="9" s="1"/>
  <c r="AM34" i="9" s="1"/>
  <c r="J1" i="9"/>
  <c r="K6" i="9" s="1"/>
  <c r="K13" i="9" s="1"/>
  <c r="AM33" i="9" s="1"/>
  <c r="I1" i="9"/>
  <c r="H1" i="9"/>
  <c r="H13" i="9"/>
  <c r="AM30" i="9" s="1"/>
  <c r="O28" i="22" l="1"/>
  <c r="P15" i="22"/>
  <c r="O28" i="23"/>
  <c r="P15" i="23"/>
  <c r="O28" i="16"/>
  <c r="O11" i="16"/>
  <c r="P15" i="16"/>
  <c r="O28" i="17"/>
  <c r="P15" i="17"/>
  <c r="N28" i="15"/>
  <c r="O15" i="15"/>
  <c r="N11" i="15"/>
  <c r="P19" i="15"/>
  <c r="N32" i="13"/>
  <c r="N43" i="13" s="1"/>
  <c r="N30" i="13"/>
  <c r="N41" i="13" s="1"/>
  <c r="N29" i="13"/>
  <c r="N40" i="13" s="1"/>
  <c r="N28" i="13"/>
  <c r="N39" i="13" s="1"/>
  <c r="N27" i="13"/>
  <c r="N38" i="13" s="1"/>
  <c r="N31" i="13"/>
  <c r="N42" i="13" s="1"/>
  <c r="H19" i="9"/>
  <c r="O29" i="13"/>
  <c r="O40" i="13" s="1"/>
  <c r="O32" i="13"/>
  <c r="O43" i="13" s="1"/>
  <c r="O28" i="13"/>
  <c r="O39" i="13" s="1"/>
  <c r="O30" i="13"/>
  <c r="O41" i="13" s="1"/>
  <c r="O27" i="13"/>
  <c r="O38" i="13" s="1"/>
  <c r="O26" i="13"/>
  <c r="O37" i="13" s="1"/>
  <c r="O31" i="13"/>
  <c r="O42" i="13" s="1"/>
  <c r="O33" i="13"/>
  <c r="O44" i="13" s="1"/>
  <c r="P23" i="13"/>
  <c r="Q23" i="13" s="1"/>
  <c r="R22" i="15"/>
  <c r="P19" i="22"/>
  <c r="Q15" i="22" s="1"/>
  <c r="Q22" i="22"/>
  <c r="O12" i="14"/>
  <c r="O13" i="14" s="1"/>
  <c r="N13" i="14"/>
  <c r="T22" i="20"/>
  <c r="P19" i="17"/>
  <c r="Q22" i="17"/>
  <c r="Q22" i="23"/>
  <c r="P19" i="23"/>
  <c r="O11" i="17"/>
  <c r="R22" i="16"/>
  <c r="Q19" i="16"/>
  <c r="Q15" i="20"/>
  <c r="Q19" i="20"/>
  <c r="P28" i="20"/>
  <c r="P11" i="20"/>
  <c r="Y12" i="14"/>
  <c r="X13" i="14"/>
  <c r="O11" i="22"/>
  <c r="O28" i="21"/>
  <c r="O11" i="21"/>
  <c r="P15" i="21"/>
  <c r="S19" i="21"/>
  <c r="T22" i="21"/>
  <c r="O11" i="23"/>
  <c r="I6" i="9"/>
  <c r="I13" i="9" s="1"/>
  <c r="AM31" i="9" s="1"/>
  <c r="J6" i="9"/>
  <c r="J13" i="9" s="1"/>
  <c r="AM32" i="9" s="1"/>
  <c r="AK33" i="9"/>
  <c r="AK42" i="9"/>
  <c r="H15" i="9"/>
  <c r="H28" i="9" s="1"/>
  <c r="I22" i="9"/>
  <c r="AK45" i="9"/>
  <c r="AK53" i="9"/>
  <c r="AK54" i="9"/>
  <c r="AK41" i="9"/>
  <c r="AK30" i="9"/>
  <c r="AK38" i="9"/>
  <c r="AK46" i="9"/>
  <c r="AK49" i="9"/>
  <c r="AK37" i="9"/>
  <c r="AK40" i="9"/>
  <c r="AK48" i="9"/>
  <c r="AK56" i="9"/>
  <c r="AK39" i="9"/>
  <c r="AK34" i="9"/>
  <c r="AK35" i="9"/>
  <c r="AK43" i="9"/>
  <c r="AK47" i="9"/>
  <c r="AK50" i="9"/>
  <c r="AK52" i="9"/>
  <c r="AK51" i="9"/>
  <c r="AK55" i="9"/>
  <c r="AK36" i="9"/>
  <c r="AK44" i="9"/>
  <c r="P28" i="22" l="1"/>
  <c r="P28" i="23"/>
  <c r="Q15" i="23"/>
  <c r="P28" i="16"/>
  <c r="Q15" i="16"/>
  <c r="P11" i="16"/>
  <c r="P28" i="17"/>
  <c r="Q15" i="17"/>
  <c r="O28" i="15"/>
  <c r="O11" i="15"/>
  <c r="P15" i="15"/>
  <c r="Q15" i="15" s="1"/>
  <c r="Q19" i="15"/>
  <c r="Q33" i="13"/>
  <c r="Q44" i="13" s="1"/>
  <c r="Q32" i="13"/>
  <c r="Q43" i="13" s="1"/>
  <c r="Q28" i="13"/>
  <c r="Q39" i="13" s="1"/>
  <c r="Q26" i="13"/>
  <c r="Q37" i="13" s="1"/>
  <c r="Q29" i="13"/>
  <c r="Q40" i="13" s="1"/>
  <c r="Q31" i="13"/>
  <c r="Q42" i="13" s="1"/>
  <c r="Q30" i="13"/>
  <c r="Q41" i="13" s="1"/>
  <c r="Q27" i="13"/>
  <c r="Q38" i="13" s="1"/>
  <c r="R23" i="13"/>
  <c r="S23" i="13" s="1"/>
  <c r="P28" i="13"/>
  <c r="P39" i="13" s="1"/>
  <c r="P26" i="13"/>
  <c r="P37" i="13" s="1"/>
  <c r="P30" i="13"/>
  <c r="P41" i="13" s="1"/>
  <c r="P33" i="13"/>
  <c r="P44" i="13" s="1"/>
  <c r="P31" i="13"/>
  <c r="P42" i="13" s="1"/>
  <c r="P29" i="13"/>
  <c r="P40" i="13" s="1"/>
  <c r="P32" i="13"/>
  <c r="P43" i="13" s="1"/>
  <c r="P27" i="13"/>
  <c r="P38" i="13" s="1"/>
  <c r="P11" i="23"/>
  <c r="P11" i="17"/>
  <c r="AK31" i="9"/>
  <c r="AK7" i="9"/>
  <c r="Z12" i="14"/>
  <c r="Y13" i="14"/>
  <c r="Q19" i="17"/>
  <c r="R22" i="17"/>
  <c r="Q19" i="22"/>
  <c r="R15" i="22" s="1"/>
  <c r="R22" i="22"/>
  <c r="R19" i="16"/>
  <c r="S22" i="16"/>
  <c r="S22" i="15"/>
  <c r="P28" i="21"/>
  <c r="P11" i="21"/>
  <c r="Q15" i="21"/>
  <c r="U22" i="20"/>
  <c r="T19" i="21"/>
  <c r="U22" i="21"/>
  <c r="Q28" i="20"/>
  <c r="Q11" i="20"/>
  <c r="R15" i="20"/>
  <c r="R19" i="20"/>
  <c r="R22" i="23"/>
  <c r="Q19" i="23"/>
  <c r="P11" i="22"/>
  <c r="Q28" i="22" s="1"/>
  <c r="AK32" i="9"/>
  <c r="I19" i="9"/>
  <c r="H11" i="9"/>
  <c r="J22" i="9"/>
  <c r="I15" i="9"/>
  <c r="R15" i="23" l="1"/>
  <c r="Q28" i="23"/>
  <c r="Q28" i="16"/>
  <c r="R15" i="16"/>
  <c r="Q11" i="16"/>
  <c r="Q28" i="17"/>
  <c r="R15" i="17"/>
  <c r="P28" i="15"/>
  <c r="P11" i="15"/>
  <c r="Q28" i="15" s="1"/>
  <c r="R15" i="15"/>
  <c r="Q11" i="15"/>
  <c r="R19" i="15"/>
  <c r="S32" i="13"/>
  <c r="S43" i="13" s="1"/>
  <c r="S30" i="13"/>
  <c r="S41" i="13" s="1"/>
  <c r="T23" i="13"/>
  <c r="S27" i="13"/>
  <c r="S38" i="13" s="1"/>
  <c r="S31" i="13"/>
  <c r="S42" i="13" s="1"/>
  <c r="S28" i="13"/>
  <c r="S39" i="13" s="1"/>
  <c r="S26" i="13"/>
  <c r="S37" i="13" s="1"/>
  <c r="S29" i="13"/>
  <c r="S40" i="13" s="1"/>
  <c r="S33" i="13"/>
  <c r="S44" i="13" s="1"/>
  <c r="R26" i="13"/>
  <c r="R37" i="13" s="1"/>
  <c r="R32" i="13"/>
  <c r="R43" i="13" s="1"/>
  <c r="R28" i="13"/>
  <c r="R39" i="13" s="1"/>
  <c r="R31" i="13"/>
  <c r="R42" i="13" s="1"/>
  <c r="R27" i="13"/>
  <c r="R38" i="13" s="1"/>
  <c r="R33" i="13"/>
  <c r="R44" i="13" s="1"/>
  <c r="R29" i="13"/>
  <c r="R40" i="13" s="1"/>
  <c r="R30" i="13"/>
  <c r="R41" i="13" s="1"/>
  <c r="Q11" i="17"/>
  <c r="R28" i="20"/>
  <c r="R11" i="20"/>
  <c r="S22" i="22"/>
  <c r="R19" i="22"/>
  <c r="S15" i="22" s="1"/>
  <c r="V22" i="21"/>
  <c r="U19" i="21"/>
  <c r="S19" i="16"/>
  <c r="T22" i="16"/>
  <c r="S22" i="17"/>
  <c r="R19" i="17"/>
  <c r="S15" i="20"/>
  <c r="S19" i="20"/>
  <c r="V22" i="20"/>
  <c r="Q11" i="22"/>
  <c r="R28" i="22" s="1"/>
  <c r="T22" i="15"/>
  <c r="Q11" i="23"/>
  <c r="S22" i="23"/>
  <c r="R19" i="23"/>
  <c r="Q28" i="21"/>
  <c r="Q11" i="21"/>
  <c r="R15" i="21"/>
  <c r="AA12" i="14"/>
  <c r="AA13" i="14" s="1"/>
  <c r="Z13" i="14"/>
  <c r="J19" i="9"/>
  <c r="I11" i="9"/>
  <c r="K22" i="9"/>
  <c r="J15" i="9"/>
  <c r="S15" i="23" l="1"/>
  <c r="R28" i="23"/>
  <c r="R28" i="16"/>
  <c r="S15" i="16"/>
  <c r="R11" i="16"/>
  <c r="R28" i="17"/>
  <c r="S15" i="17"/>
  <c r="R28" i="15"/>
  <c r="S15" i="15"/>
  <c r="S19" i="15"/>
  <c r="R11" i="15"/>
  <c r="U23" i="13"/>
  <c r="U26" i="13" s="1"/>
  <c r="T26" i="13"/>
  <c r="T37" i="13" s="1"/>
  <c r="T29" i="13"/>
  <c r="T40" i="13" s="1"/>
  <c r="T30" i="13"/>
  <c r="T41" i="13" s="1"/>
  <c r="T27" i="13"/>
  <c r="T38" i="13" s="1"/>
  <c r="T31" i="13"/>
  <c r="T42" i="13" s="1"/>
  <c r="T28" i="13"/>
  <c r="T39" i="13" s="1"/>
  <c r="T32" i="13"/>
  <c r="T43" i="13" s="1"/>
  <c r="T33" i="13"/>
  <c r="T44" i="13" s="1"/>
  <c r="R11" i="22"/>
  <c r="S28" i="22" s="1"/>
  <c r="W22" i="21"/>
  <c r="V19" i="21"/>
  <c r="U22" i="16"/>
  <c r="T19" i="16"/>
  <c r="T22" i="22"/>
  <c r="S19" i="22"/>
  <c r="T15" i="22" s="1"/>
  <c r="S19" i="23"/>
  <c r="T22" i="23"/>
  <c r="W22" i="20"/>
  <c r="S28" i="20"/>
  <c r="S11" i="20"/>
  <c r="T22" i="17"/>
  <c r="S19" i="17"/>
  <c r="T15" i="20"/>
  <c r="T19" i="20"/>
  <c r="R11" i="23"/>
  <c r="R28" i="21"/>
  <c r="R11" i="21"/>
  <c r="S15" i="21"/>
  <c r="R11" i="17"/>
  <c r="U22" i="15"/>
  <c r="K19" i="9"/>
  <c r="J28" i="9"/>
  <c r="L22" i="9"/>
  <c r="M22" i="9" s="1"/>
  <c r="N22" i="9" s="1"/>
  <c r="J11" i="9"/>
  <c r="K15" i="9"/>
  <c r="S28" i="23" l="1"/>
  <c r="T15" i="23"/>
  <c r="S28" i="16"/>
  <c r="T15" i="16"/>
  <c r="S11" i="16"/>
  <c r="S28" i="17"/>
  <c r="T15" i="17"/>
  <c r="S28" i="15"/>
  <c r="T15" i="15"/>
  <c r="T19" i="15"/>
  <c r="S11" i="15"/>
  <c r="U28" i="13"/>
  <c r="U39" i="13" s="1"/>
  <c r="U27" i="13"/>
  <c r="U38" i="13" s="1"/>
  <c r="U32" i="13"/>
  <c r="U43" i="13" s="1"/>
  <c r="U37" i="13"/>
  <c r="U29" i="13"/>
  <c r="U40" i="13" s="1"/>
  <c r="V23" i="13"/>
  <c r="U33" i="13"/>
  <c r="U44" i="13" s="1"/>
  <c r="U31" i="13"/>
  <c r="U42" i="13" s="1"/>
  <c r="U30" i="13"/>
  <c r="U41" i="13" s="1"/>
  <c r="S28" i="21"/>
  <c r="S11" i="21"/>
  <c r="T15" i="21"/>
  <c r="X22" i="21"/>
  <c r="W19" i="21"/>
  <c r="X22" i="20"/>
  <c r="S11" i="22"/>
  <c r="T28" i="22" s="1"/>
  <c r="S11" i="17"/>
  <c r="T11" i="20"/>
  <c r="T28" i="20"/>
  <c r="U22" i="23"/>
  <c r="T19" i="23"/>
  <c r="U22" i="17"/>
  <c r="T19" i="17"/>
  <c r="V22" i="16"/>
  <c r="U19" i="16"/>
  <c r="S11" i="23"/>
  <c r="U22" i="22"/>
  <c r="T19" i="22"/>
  <c r="U15" i="22" s="1"/>
  <c r="V22" i="15"/>
  <c r="U15" i="20"/>
  <c r="U19" i="20"/>
  <c r="L19" i="9"/>
  <c r="M19" i="9" s="1"/>
  <c r="N19" i="9" s="1"/>
  <c r="K28" i="9"/>
  <c r="O22" i="9"/>
  <c r="P22" i="9" s="1"/>
  <c r="Q22" i="9" s="1"/>
  <c r="L15" i="9"/>
  <c r="K11" i="9"/>
  <c r="U15" i="23" l="1"/>
  <c r="T28" i="23"/>
  <c r="T28" i="16"/>
  <c r="U15" i="16"/>
  <c r="T11" i="16"/>
  <c r="T28" i="17"/>
  <c r="U15" i="17"/>
  <c r="T28" i="15"/>
  <c r="U15" i="15"/>
  <c r="U19" i="15"/>
  <c r="T11" i="15"/>
  <c r="W23" i="13"/>
  <c r="V31" i="13"/>
  <c r="V42" i="13" s="1"/>
  <c r="V30" i="13"/>
  <c r="V41" i="13" s="1"/>
  <c r="V29" i="13"/>
  <c r="V40" i="13" s="1"/>
  <c r="V27" i="13"/>
  <c r="V38" i="13" s="1"/>
  <c r="V33" i="13"/>
  <c r="V44" i="13" s="1"/>
  <c r="V26" i="13"/>
  <c r="V37" i="13" s="1"/>
  <c r="V32" i="13"/>
  <c r="V43" i="13" s="1"/>
  <c r="V28" i="13"/>
  <c r="V39" i="13" s="1"/>
  <c r="T11" i="23"/>
  <c r="Y22" i="20"/>
  <c r="W22" i="16"/>
  <c r="V19" i="16"/>
  <c r="Y22" i="21"/>
  <c r="X19" i="21"/>
  <c r="T28" i="21"/>
  <c r="T11" i="21"/>
  <c r="U15" i="21"/>
  <c r="V15" i="20"/>
  <c r="V19" i="20"/>
  <c r="T11" i="17"/>
  <c r="T11" i="22"/>
  <c r="U28" i="22" s="1"/>
  <c r="V22" i="17"/>
  <c r="U19" i="17"/>
  <c r="W22" i="15"/>
  <c r="U19" i="22"/>
  <c r="V15" i="22" s="1"/>
  <c r="V22" i="22"/>
  <c r="U28" i="20"/>
  <c r="U11" i="20"/>
  <c r="V22" i="23"/>
  <c r="U19" i="23"/>
  <c r="O19" i="9"/>
  <c r="P19" i="9" s="1"/>
  <c r="Q19" i="9" s="1"/>
  <c r="R22" i="9"/>
  <c r="L28" i="9"/>
  <c r="M15" i="9"/>
  <c r="L11" i="9"/>
  <c r="V15" i="23" l="1"/>
  <c r="V28" i="23" s="1"/>
  <c r="U28" i="23"/>
  <c r="U28" i="16"/>
  <c r="V15" i="16"/>
  <c r="U11" i="16"/>
  <c r="U28" i="17"/>
  <c r="V15" i="17"/>
  <c r="V28" i="17" s="1"/>
  <c r="U28" i="15"/>
  <c r="V15" i="15"/>
  <c r="V28" i="15" s="1"/>
  <c r="V19" i="15"/>
  <c r="U11" i="15"/>
  <c r="W27" i="13"/>
  <c r="W38" i="13" s="1"/>
  <c r="W26" i="13"/>
  <c r="W37" i="13" s="1"/>
  <c r="W30" i="13"/>
  <c r="W41" i="13" s="1"/>
  <c r="W32" i="13"/>
  <c r="W43" i="13" s="1"/>
  <c r="W33" i="13"/>
  <c r="W44" i="13" s="1"/>
  <c r="X23" i="13"/>
  <c r="Y23" i="13" s="1"/>
  <c r="Z23" i="13" s="1"/>
  <c r="W29" i="13"/>
  <c r="W40" i="13" s="1"/>
  <c r="W31" i="13"/>
  <c r="W42" i="13" s="1"/>
  <c r="W28" i="13"/>
  <c r="W39" i="13" s="1"/>
  <c r="U11" i="23"/>
  <c r="Z22" i="21"/>
  <c r="Y19" i="21"/>
  <c r="X22" i="16"/>
  <c r="W19" i="16"/>
  <c r="X22" i="15"/>
  <c r="W22" i="17"/>
  <c r="V19" i="17"/>
  <c r="U11" i="17"/>
  <c r="V28" i="22"/>
  <c r="U11" i="22"/>
  <c r="U28" i="21"/>
  <c r="U11" i="21"/>
  <c r="V15" i="21"/>
  <c r="V28" i="20"/>
  <c r="V11" i="20"/>
  <c r="V19" i="23"/>
  <c r="W22" i="23"/>
  <c r="Z22" i="20"/>
  <c r="W15" i="20"/>
  <c r="W19" i="20"/>
  <c r="W22" i="22"/>
  <c r="V19" i="22"/>
  <c r="W15" i="22" s="1"/>
  <c r="S22" i="9"/>
  <c r="R19" i="9"/>
  <c r="M28" i="9"/>
  <c r="M11" i="9"/>
  <c r="N15" i="9"/>
  <c r="W15" i="23" l="1"/>
  <c r="W28" i="23" s="1"/>
  <c r="V28" i="16"/>
  <c r="W15" i="16"/>
  <c r="V11" i="16"/>
  <c r="W15" i="17"/>
  <c r="W15" i="15"/>
  <c r="W28" i="15" s="1"/>
  <c r="V11" i="15"/>
  <c r="W19" i="15"/>
  <c r="X19" i="15" s="1"/>
  <c r="Z30" i="13"/>
  <c r="Z41" i="13" s="1"/>
  <c r="Z31" i="13"/>
  <c r="Z42" i="13" s="1"/>
  <c r="AA23" i="13"/>
  <c r="Z27" i="13"/>
  <c r="Z38" i="13" s="1"/>
  <c r="Z33" i="13"/>
  <c r="Z44" i="13" s="1"/>
  <c r="Z28" i="13"/>
  <c r="Z39" i="13" s="1"/>
  <c r="Z32" i="13"/>
  <c r="Z43" i="13" s="1"/>
  <c r="Z26" i="13"/>
  <c r="Z37" i="13" s="1"/>
  <c r="Z29" i="13"/>
  <c r="Z40" i="13" s="1"/>
  <c r="Y33" i="13"/>
  <c r="Y44" i="13" s="1"/>
  <c r="Y26" i="13"/>
  <c r="Y37" i="13" s="1"/>
  <c r="Y32" i="13"/>
  <c r="Y43" i="13" s="1"/>
  <c r="Y27" i="13"/>
  <c r="Y38" i="13" s="1"/>
  <c r="Y28" i="13"/>
  <c r="Y39" i="13" s="1"/>
  <c r="Y30" i="13"/>
  <c r="Y41" i="13" s="1"/>
  <c r="Y29" i="13"/>
  <c r="Y40" i="13" s="1"/>
  <c r="Y31" i="13"/>
  <c r="Y42" i="13" s="1"/>
  <c r="X26" i="13"/>
  <c r="X37" i="13" s="1"/>
  <c r="X29" i="13"/>
  <c r="X40" i="13" s="1"/>
  <c r="X31" i="13"/>
  <c r="X42" i="13" s="1"/>
  <c r="X27" i="13"/>
  <c r="X38" i="13" s="1"/>
  <c r="X32" i="13"/>
  <c r="X43" i="13" s="1"/>
  <c r="X33" i="13"/>
  <c r="X44" i="13" s="1"/>
  <c r="X28" i="13"/>
  <c r="X39" i="13" s="1"/>
  <c r="X30" i="13"/>
  <c r="X41" i="13" s="1"/>
  <c r="V11" i="17"/>
  <c r="V11" i="23"/>
  <c r="V11" i="22"/>
  <c r="Y22" i="15"/>
  <c r="Y22" i="16"/>
  <c r="X19" i="16"/>
  <c r="W28" i="20"/>
  <c r="W11" i="20"/>
  <c r="AA22" i="20"/>
  <c r="X22" i="22"/>
  <c r="W19" i="22"/>
  <c r="X15" i="22" s="1"/>
  <c r="X15" i="20"/>
  <c r="X19" i="20"/>
  <c r="V28" i="21"/>
  <c r="V11" i="21"/>
  <c r="W15" i="21"/>
  <c r="W19" i="23"/>
  <c r="X22" i="23"/>
  <c r="W28" i="22"/>
  <c r="X22" i="17"/>
  <c r="W19" i="17"/>
  <c r="AA22" i="21"/>
  <c r="Z19" i="21"/>
  <c r="T22" i="9"/>
  <c r="U22" i="9" s="1"/>
  <c r="V22" i="9" s="1"/>
  <c r="W22" i="9" s="1"/>
  <c r="X22" i="9" s="1"/>
  <c r="S19" i="9"/>
  <c r="N28" i="9"/>
  <c r="O15" i="9"/>
  <c r="N11" i="9"/>
  <c r="X15" i="23" l="1"/>
  <c r="W28" i="16"/>
  <c r="X15" i="16"/>
  <c r="W11" i="16"/>
  <c r="W28" i="17"/>
  <c r="X15" i="17"/>
  <c r="X15" i="15"/>
  <c r="W11" i="15"/>
  <c r="AA26" i="13"/>
  <c r="AA37" i="13" s="1"/>
  <c r="AA32" i="13"/>
  <c r="AA43" i="13" s="1"/>
  <c r="AA28" i="13"/>
  <c r="AA39" i="13" s="1"/>
  <c r="AB23" i="13"/>
  <c r="AA27" i="13"/>
  <c r="AA38" i="13" s="1"/>
  <c r="AA30" i="13"/>
  <c r="AA41" i="13" s="1"/>
  <c r="AA31" i="13"/>
  <c r="AA42" i="13" s="1"/>
  <c r="AA29" i="13"/>
  <c r="AA40" i="13" s="1"/>
  <c r="AA33" i="13"/>
  <c r="AA44" i="13" s="1"/>
  <c r="W11" i="17"/>
  <c r="W11" i="22"/>
  <c r="X28" i="22" s="1"/>
  <c r="AA19" i="21"/>
  <c r="AB22" i="21"/>
  <c r="W28" i="21"/>
  <c r="W11" i="21"/>
  <c r="X15" i="21"/>
  <c r="Z22" i="16"/>
  <c r="Y19" i="16"/>
  <c r="W11" i="23"/>
  <c r="Y15" i="20"/>
  <c r="Y19" i="20"/>
  <c r="X28" i="20"/>
  <c r="X11" i="20"/>
  <c r="Y19" i="15"/>
  <c r="Z22" i="15"/>
  <c r="X19" i="17"/>
  <c r="Y22" i="17"/>
  <c r="AB22" i="20"/>
  <c r="Y22" i="23"/>
  <c r="X19" i="23"/>
  <c r="X19" i="22"/>
  <c r="Y15" i="22" s="1"/>
  <c r="Y22" i="22"/>
  <c r="T19" i="9"/>
  <c r="U19" i="9" s="1"/>
  <c r="V19" i="9" s="1"/>
  <c r="Y22" i="9"/>
  <c r="O28" i="9"/>
  <c r="O11" i="9"/>
  <c r="P15" i="9"/>
  <c r="Y15" i="23" l="1"/>
  <c r="X28" i="23"/>
  <c r="X28" i="16"/>
  <c r="Y15" i="16"/>
  <c r="X11" i="16"/>
  <c r="X28" i="17"/>
  <c r="Y15" i="17"/>
  <c r="X28" i="15"/>
  <c r="Y15" i="15"/>
  <c r="X11" i="15"/>
  <c r="AC23" i="13"/>
  <c r="AB30" i="13"/>
  <c r="AB41" i="13" s="1"/>
  <c r="AB26" i="13"/>
  <c r="AB37" i="13" s="1"/>
  <c r="AB32" i="13"/>
  <c r="AB43" i="13" s="1"/>
  <c r="AB29" i="13"/>
  <c r="AB40" i="13" s="1"/>
  <c r="AB27" i="13"/>
  <c r="AB38" i="13" s="1"/>
  <c r="AB33" i="13"/>
  <c r="AB44" i="13" s="1"/>
  <c r="AB28" i="13"/>
  <c r="AB39" i="13" s="1"/>
  <c r="AB31" i="13"/>
  <c r="AB42" i="13" s="1"/>
  <c r="X11" i="17"/>
  <c r="AB19" i="21"/>
  <c r="AC22" i="21"/>
  <c r="Y19" i="22"/>
  <c r="Z15" i="22" s="1"/>
  <c r="Z22" i="22"/>
  <c r="X28" i="21"/>
  <c r="X11" i="21"/>
  <c r="Y15" i="21"/>
  <c r="Y28" i="20"/>
  <c r="Y11" i="20"/>
  <c r="Z15" i="20"/>
  <c r="Z19" i="20"/>
  <c r="AC22" i="20"/>
  <c r="Z19" i="15"/>
  <c r="AA22" i="15"/>
  <c r="Z19" i="16"/>
  <c r="AA22" i="16"/>
  <c r="X11" i="23"/>
  <c r="Z22" i="23"/>
  <c r="Y19" i="23"/>
  <c r="X11" i="22"/>
  <c r="Y28" i="22" s="1"/>
  <c r="Y19" i="17"/>
  <c r="Z22" i="17"/>
  <c r="W19" i="9"/>
  <c r="X19" i="9" s="1"/>
  <c r="Y19" i="9" s="1"/>
  <c r="Z22" i="9"/>
  <c r="AA22" i="9" s="1"/>
  <c r="AB22" i="9" s="1"/>
  <c r="AC22" i="9" s="1"/>
  <c r="AD22" i="9" s="1"/>
  <c r="AE22" i="9" s="1"/>
  <c r="AF22" i="9" s="1"/>
  <c r="AG22" i="9" s="1"/>
  <c r="AH22" i="9" s="1"/>
  <c r="AI22" i="9" s="1"/>
  <c r="P28" i="9"/>
  <c r="Q15" i="9"/>
  <c r="P11" i="9"/>
  <c r="Y28" i="23" l="1"/>
  <c r="Z15" i="23"/>
  <c r="Z28" i="23" s="1"/>
  <c r="Y28" i="16"/>
  <c r="Y11" i="16"/>
  <c r="Z15" i="16"/>
  <c r="Z28" i="16" s="1"/>
  <c r="Y28" i="17"/>
  <c r="Z15" i="17"/>
  <c r="Z28" i="17" s="1"/>
  <c r="Y28" i="15"/>
  <c r="Y11" i="15"/>
  <c r="Z15" i="15"/>
  <c r="Z28" i="15" s="1"/>
  <c r="AC31" i="13"/>
  <c r="AC42" i="13" s="1"/>
  <c r="AC32" i="13"/>
  <c r="AC43" i="13" s="1"/>
  <c r="AC30" i="13"/>
  <c r="AC41" i="13" s="1"/>
  <c r="AC29" i="13"/>
  <c r="AC40" i="13" s="1"/>
  <c r="AC27" i="13"/>
  <c r="AC38" i="13" s="1"/>
  <c r="AC33" i="13"/>
  <c r="AC44" i="13" s="1"/>
  <c r="AD23" i="13"/>
  <c r="AC26" i="13"/>
  <c r="AC37" i="13" s="1"/>
  <c r="AC28" i="13"/>
  <c r="AC39" i="13" s="1"/>
  <c r="AB22" i="15"/>
  <c r="AA19" i="15"/>
  <c r="AA22" i="22"/>
  <c r="Z19" i="22"/>
  <c r="AA15" i="22" s="1"/>
  <c r="Z28" i="22"/>
  <c r="Y11" i="23"/>
  <c r="AD22" i="21"/>
  <c r="AC19" i="21"/>
  <c r="AA22" i="23"/>
  <c r="Z19" i="23"/>
  <c r="AA15" i="20"/>
  <c r="AA19" i="20"/>
  <c r="AD22" i="20"/>
  <c r="AA22" i="17"/>
  <c r="Z19" i="17"/>
  <c r="AA19" i="16"/>
  <c r="AB22" i="16"/>
  <c r="Z28" i="20"/>
  <c r="Z11" i="20"/>
  <c r="Y28" i="21"/>
  <c r="Y11" i="21"/>
  <c r="Z15" i="21"/>
  <c r="Y11" i="22"/>
  <c r="Y11" i="17"/>
  <c r="AJ22" i="9"/>
  <c r="Z19" i="9"/>
  <c r="Q28" i="9"/>
  <c r="Q11" i="9"/>
  <c r="R15" i="9"/>
  <c r="AA15" i="23" l="1"/>
  <c r="AA15" i="16"/>
  <c r="Z11" i="16"/>
  <c r="AA15" i="17"/>
  <c r="Z11" i="15"/>
  <c r="AA15" i="15"/>
  <c r="AD30" i="13"/>
  <c r="AD41" i="13" s="1"/>
  <c r="AD28" i="13"/>
  <c r="AD39" i="13" s="1"/>
  <c r="AD27" i="13"/>
  <c r="AD38" i="13" s="1"/>
  <c r="AE23" i="13"/>
  <c r="AD33" i="13"/>
  <c r="AD44" i="13" s="1"/>
  <c r="AD31" i="13"/>
  <c r="AD42" i="13" s="1"/>
  <c r="AD29" i="13"/>
  <c r="AD40" i="13" s="1"/>
  <c r="AD26" i="13"/>
  <c r="AD37" i="13" s="1"/>
  <c r="AD32" i="13"/>
  <c r="AD43" i="13" s="1"/>
  <c r="Z11" i="23"/>
  <c r="Z11" i="22"/>
  <c r="AA28" i="22" s="1"/>
  <c r="AB22" i="22"/>
  <c r="AA19" i="22"/>
  <c r="AB15" i="22" s="1"/>
  <c r="AA28" i="20"/>
  <c r="AA11" i="20"/>
  <c r="Z28" i="21"/>
  <c r="Z11" i="21"/>
  <c r="AA15" i="21"/>
  <c r="AA19" i="23"/>
  <c r="AB22" i="23"/>
  <c r="AE22" i="20"/>
  <c r="AE22" i="21"/>
  <c r="AD19" i="21"/>
  <c r="AB22" i="17"/>
  <c r="AA19" i="17"/>
  <c r="Z11" i="17"/>
  <c r="AC22" i="16"/>
  <c r="AB19" i="16"/>
  <c r="AB15" i="20"/>
  <c r="AB19" i="20"/>
  <c r="AC22" i="15"/>
  <c r="AB19" i="15"/>
  <c r="AA19" i="9"/>
  <c r="AB19" i="9" s="1"/>
  <c r="AC19" i="9" s="1"/>
  <c r="AD19" i="9" s="1"/>
  <c r="AE19" i="9" s="1"/>
  <c r="AF19" i="9" s="1"/>
  <c r="AG19" i="9" s="1"/>
  <c r="AH19" i="9" s="1"/>
  <c r="AI19" i="9" s="1"/>
  <c r="AJ19" i="9" s="1"/>
  <c r="R28" i="9"/>
  <c r="S15" i="9"/>
  <c r="R11" i="9"/>
  <c r="AA28" i="23" l="1"/>
  <c r="AB15" i="23"/>
  <c r="AA28" i="16"/>
  <c r="AA11" i="16"/>
  <c r="AB15" i="16"/>
  <c r="AA28" i="17"/>
  <c r="AB15" i="17"/>
  <c r="AA28" i="15"/>
  <c r="AB15" i="15"/>
  <c r="AB28" i="15" s="1"/>
  <c r="AA11" i="15"/>
  <c r="AE28" i="13"/>
  <c r="AE39" i="13" s="1"/>
  <c r="AE26" i="13"/>
  <c r="AE37" i="13" s="1"/>
  <c r="AE32" i="13"/>
  <c r="AE43" i="13" s="1"/>
  <c r="AF23" i="13"/>
  <c r="AE29" i="13"/>
  <c r="AE40" i="13" s="1"/>
  <c r="AE33" i="13"/>
  <c r="AE44" i="13" s="1"/>
  <c r="AE30" i="13"/>
  <c r="AE41" i="13" s="1"/>
  <c r="AE31" i="13"/>
  <c r="AE42" i="13" s="1"/>
  <c r="AE27" i="13"/>
  <c r="AE38" i="13" s="1"/>
  <c r="AA11" i="22"/>
  <c r="AB11" i="20"/>
  <c r="AB28" i="20"/>
  <c r="AA11" i="23"/>
  <c r="AF22" i="21"/>
  <c r="AE19" i="21"/>
  <c r="AA28" i="21"/>
  <c r="AA11" i="21"/>
  <c r="AB15" i="21"/>
  <c r="AD22" i="16"/>
  <c r="AC19" i="16"/>
  <c r="AC22" i="17"/>
  <c r="AB19" i="17"/>
  <c r="AF22" i="20"/>
  <c r="AB28" i="22"/>
  <c r="AC15" i="20"/>
  <c r="AC19" i="20"/>
  <c r="AD22" i="15"/>
  <c r="AC19" i="15"/>
  <c r="AA11" i="17"/>
  <c r="AC22" i="23"/>
  <c r="AB19" i="23"/>
  <c r="AC22" i="22"/>
  <c r="AB19" i="22"/>
  <c r="AC15" i="22" s="1"/>
  <c r="S28" i="9"/>
  <c r="S11" i="9"/>
  <c r="T15" i="9"/>
  <c r="AB28" i="23" l="1"/>
  <c r="AC15" i="23"/>
  <c r="AB28" i="16"/>
  <c r="AC15" i="16"/>
  <c r="AB11" i="16"/>
  <c r="AB28" i="17"/>
  <c r="AC15" i="17"/>
  <c r="AC15" i="15"/>
  <c r="AC28" i="15" s="1"/>
  <c r="AB11" i="15"/>
  <c r="AB11" i="23"/>
  <c r="AG23" i="13"/>
  <c r="AF29" i="13"/>
  <c r="AF40" i="13" s="1"/>
  <c r="AF28" i="13"/>
  <c r="AF39" i="13" s="1"/>
  <c r="AF31" i="13"/>
  <c r="AF42" i="13" s="1"/>
  <c r="AF26" i="13"/>
  <c r="AF37" i="13" s="1"/>
  <c r="AF27" i="13"/>
  <c r="AF38" i="13" s="1"/>
  <c r="AF30" i="13"/>
  <c r="AF41" i="13" s="1"/>
  <c r="AF32" i="13"/>
  <c r="AF43" i="13" s="1"/>
  <c r="AF33" i="13"/>
  <c r="AF44" i="13" s="1"/>
  <c r="AB11" i="22"/>
  <c r="AG22" i="21"/>
  <c r="AF19" i="21"/>
  <c r="AB28" i="21"/>
  <c r="AB11" i="21"/>
  <c r="AC15" i="21"/>
  <c r="AG22" i="20"/>
  <c r="AE22" i="16"/>
  <c r="AD19" i="16"/>
  <c r="AE22" i="15"/>
  <c r="AD19" i="15"/>
  <c r="AD15" i="20"/>
  <c r="AD19" i="20"/>
  <c r="AD22" i="17"/>
  <c r="AC19" i="17"/>
  <c r="AB11" i="17"/>
  <c r="AD22" i="23"/>
  <c r="AC19" i="23"/>
  <c r="AC19" i="22"/>
  <c r="AD15" i="22" s="1"/>
  <c r="AD22" i="22"/>
  <c r="AC28" i="20"/>
  <c r="AC11" i="20"/>
  <c r="AC28" i="22"/>
  <c r="T28" i="9"/>
  <c r="U15" i="9"/>
  <c r="T11" i="9"/>
  <c r="AD15" i="23" l="1"/>
  <c r="AC28" i="23"/>
  <c r="AC28" i="16"/>
  <c r="AC11" i="16"/>
  <c r="AD15" i="16"/>
  <c r="AC28" i="17"/>
  <c r="AD15" i="17"/>
  <c r="AC11" i="15"/>
  <c r="AD15" i="15"/>
  <c r="AG26" i="13"/>
  <c r="AG37" i="13" s="1"/>
  <c r="AG33" i="13"/>
  <c r="AG44" i="13" s="1"/>
  <c r="AG29" i="13"/>
  <c r="AG40" i="13" s="1"/>
  <c r="AG28" i="13"/>
  <c r="AG39" i="13" s="1"/>
  <c r="AH23" i="13"/>
  <c r="AG32" i="13"/>
  <c r="AG43" i="13" s="1"/>
  <c r="AG31" i="13"/>
  <c r="AG42" i="13" s="1"/>
  <c r="AG27" i="13"/>
  <c r="AG38" i="13" s="1"/>
  <c r="AG30" i="13"/>
  <c r="AG41" i="13" s="1"/>
  <c r="AC11" i="17"/>
  <c r="AC28" i="21"/>
  <c r="AC11" i="21"/>
  <c r="AD15" i="21"/>
  <c r="AE15" i="20"/>
  <c r="AE19" i="20"/>
  <c r="AF22" i="16"/>
  <c r="AE19" i="16"/>
  <c r="AH22" i="21"/>
  <c r="AG19" i="21"/>
  <c r="AC11" i="22"/>
  <c r="AD28" i="22" s="1"/>
  <c r="AH22" i="20"/>
  <c r="AD28" i="20"/>
  <c r="AD11" i="20"/>
  <c r="AF22" i="15"/>
  <c r="AE19" i="15"/>
  <c r="AD19" i="23"/>
  <c r="AE22" i="23"/>
  <c r="AC11" i="23"/>
  <c r="AE22" i="22"/>
  <c r="AD19" i="22"/>
  <c r="AE15" i="22" s="1"/>
  <c r="AE22" i="17"/>
  <c r="AD19" i="17"/>
  <c r="U28" i="9"/>
  <c r="U11" i="9"/>
  <c r="V15" i="9"/>
  <c r="AD28" i="23" l="1"/>
  <c r="AE15" i="23"/>
  <c r="AD28" i="16"/>
  <c r="AD11" i="16"/>
  <c r="AE15" i="16"/>
  <c r="AD28" i="17"/>
  <c r="AE15" i="17"/>
  <c r="AD28" i="15"/>
  <c r="AD11" i="15"/>
  <c r="AE15" i="15"/>
  <c r="AH30" i="13"/>
  <c r="AH41" i="13" s="1"/>
  <c r="AH27" i="13"/>
  <c r="AH38" i="13" s="1"/>
  <c r="AH33" i="13"/>
  <c r="AH44" i="13" s="1"/>
  <c r="AH31" i="13"/>
  <c r="AH42" i="13" s="1"/>
  <c r="AH29" i="13"/>
  <c r="AH40" i="13" s="1"/>
  <c r="AH26" i="13"/>
  <c r="AH37" i="13" s="1"/>
  <c r="AH28" i="13"/>
  <c r="AH39" i="13" s="1"/>
  <c r="AH32" i="13"/>
  <c r="AH43" i="13" s="1"/>
  <c r="AD11" i="17"/>
  <c r="AI22" i="21"/>
  <c r="AH19" i="21"/>
  <c r="AE19" i="23"/>
  <c r="AF22" i="23"/>
  <c r="AF15" i="20"/>
  <c r="AF19" i="20"/>
  <c r="AE28" i="20"/>
  <c r="AE11" i="20"/>
  <c r="AD11" i="23"/>
  <c r="AD11" i="21"/>
  <c r="AD28" i="21"/>
  <c r="AE15" i="21"/>
  <c r="AI22" i="20"/>
  <c r="AG22" i="16"/>
  <c r="AF19" i="16"/>
  <c r="AD11" i="22"/>
  <c r="AE28" i="22" s="1"/>
  <c r="AG22" i="15"/>
  <c r="AF19" i="15"/>
  <c r="AF22" i="17"/>
  <c r="AE19" i="17"/>
  <c r="AF22" i="22"/>
  <c r="AE19" i="22"/>
  <c r="AF15" i="22" s="1"/>
  <c r="V28" i="9"/>
  <c r="V11" i="9"/>
  <c r="W15" i="9"/>
  <c r="AF15" i="23" l="1"/>
  <c r="AF28" i="23" s="1"/>
  <c r="AE28" i="23"/>
  <c r="AE28" i="16"/>
  <c r="AF15" i="16"/>
  <c r="AE11" i="16"/>
  <c r="AE28" i="17"/>
  <c r="AF15" i="17"/>
  <c r="AE28" i="15"/>
  <c r="AF15" i="15"/>
  <c r="AE11" i="15"/>
  <c r="AJ15" i="13"/>
  <c r="W28" i="9"/>
  <c r="AE11" i="17"/>
  <c r="AE11" i="23"/>
  <c r="AG15" i="20"/>
  <c r="AG19" i="20"/>
  <c r="AH22" i="16"/>
  <c r="AG19" i="16"/>
  <c r="AJ22" i="20"/>
  <c r="AG22" i="23"/>
  <c r="AF19" i="23"/>
  <c r="AF28" i="20"/>
  <c r="AF11" i="20"/>
  <c r="AG19" i="15"/>
  <c r="AH22" i="15"/>
  <c r="AE28" i="21"/>
  <c r="AE11" i="21"/>
  <c r="AF15" i="21"/>
  <c r="AF19" i="17"/>
  <c r="AG22" i="17"/>
  <c r="AF19" i="22"/>
  <c r="AG15" i="22" s="1"/>
  <c r="AG22" i="22"/>
  <c r="AF28" i="22"/>
  <c r="AE11" i="22"/>
  <c r="AI19" i="21"/>
  <c r="AJ22" i="21"/>
  <c r="X15" i="9"/>
  <c r="W11" i="9"/>
  <c r="AG15" i="23" l="1"/>
  <c r="AG28" i="23" s="1"/>
  <c r="AF28" i="16"/>
  <c r="AF11" i="16"/>
  <c r="AG15" i="16"/>
  <c r="AF28" i="17"/>
  <c r="AG15" i="17"/>
  <c r="AF28" i="15"/>
  <c r="AF11" i="15"/>
  <c r="AG15" i="15"/>
  <c r="AG28" i="15" s="1"/>
  <c r="AH22" i="23"/>
  <c r="AG19" i="23"/>
  <c r="AG28" i="22"/>
  <c r="AH19" i="16"/>
  <c r="AI22" i="16"/>
  <c r="AF28" i="21"/>
  <c r="AF11" i="21"/>
  <c r="AG15" i="21"/>
  <c r="AF11" i="22"/>
  <c r="AG19" i="17"/>
  <c r="AH22" i="17"/>
  <c r="AH19" i="15"/>
  <c r="AI22" i="15"/>
  <c r="AJ19" i="21"/>
  <c r="AF11" i="17"/>
  <c r="AH15" i="20"/>
  <c r="AH19" i="20"/>
  <c r="AG19" i="22"/>
  <c r="AH15" i="22" s="1"/>
  <c r="AH22" i="22"/>
  <c r="AF11" i="23"/>
  <c r="AG28" i="20"/>
  <c r="AG11" i="20"/>
  <c r="X28" i="9"/>
  <c r="X11" i="9"/>
  <c r="Y15" i="9"/>
  <c r="AH15" i="23" l="1"/>
  <c r="AH28" i="23" s="1"/>
  <c r="AL6" i="23" s="1"/>
  <c r="AG28" i="16"/>
  <c r="AG11" i="16"/>
  <c r="AH15" i="16"/>
  <c r="AG28" i="17"/>
  <c r="AH15" i="17"/>
  <c r="AG11" i="15"/>
  <c r="AH15" i="15"/>
  <c r="AG11" i="23"/>
  <c r="AG11" i="17"/>
  <c r="AG28" i="21"/>
  <c r="AG11" i="21"/>
  <c r="AH15" i="21"/>
  <c r="AJ22" i="15"/>
  <c r="AI19" i="15"/>
  <c r="AI22" i="22"/>
  <c r="AH19" i="22"/>
  <c r="AI15" i="22" s="1"/>
  <c r="AI19" i="16"/>
  <c r="AJ22" i="16"/>
  <c r="AH28" i="22"/>
  <c r="AL6" i="22" s="1"/>
  <c r="AI22" i="17"/>
  <c r="AH19" i="17"/>
  <c r="AI15" i="20"/>
  <c r="AI19" i="20"/>
  <c r="AH28" i="20"/>
  <c r="AL6" i="20" s="1"/>
  <c r="AH11" i="20"/>
  <c r="AG11" i="22"/>
  <c r="AI22" i="23"/>
  <c r="AH19" i="23"/>
  <c r="Y28" i="9"/>
  <c r="Z15" i="9"/>
  <c r="Y11" i="9"/>
  <c r="AI15" i="23" l="1"/>
  <c r="AH28" i="16"/>
  <c r="AL6" i="16" s="1"/>
  <c r="AI15" i="16"/>
  <c r="AH11" i="16"/>
  <c r="AH28" i="17"/>
  <c r="AL6" i="17" s="1"/>
  <c r="AI15" i="17"/>
  <c r="AH28" i="15"/>
  <c r="AL6" i="15" s="1"/>
  <c r="AH11" i="15"/>
  <c r="AI15" i="15"/>
  <c r="AH11" i="22"/>
  <c r="AH11" i="23"/>
  <c r="AJ19" i="15"/>
  <c r="AH11" i="17"/>
  <c r="AH28" i="21"/>
  <c r="AL6" i="21" s="1"/>
  <c r="AH11" i="21"/>
  <c r="AI15" i="21"/>
  <c r="AI28" i="20"/>
  <c r="AI11" i="20"/>
  <c r="AJ22" i="17"/>
  <c r="AI19" i="17"/>
  <c r="AI19" i="23"/>
  <c r="AJ22" i="23"/>
  <c r="AJ15" i="20"/>
  <c r="AJ19" i="20"/>
  <c r="AI28" i="22"/>
  <c r="AJ19" i="16"/>
  <c r="AJ22" i="22"/>
  <c r="AI19" i="22"/>
  <c r="AJ15" i="22" s="1"/>
  <c r="Z28" i="9"/>
  <c r="Z11" i="9"/>
  <c r="AA15" i="9"/>
  <c r="AI28" i="23" l="1"/>
  <c r="AJ15" i="23"/>
  <c r="AI28" i="16"/>
  <c r="AI11" i="16"/>
  <c r="AJ15" i="16"/>
  <c r="AI28" i="17"/>
  <c r="AJ15" i="17"/>
  <c r="AI28" i="15"/>
  <c r="AJ15" i="15"/>
  <c r="AJ28" i="15" s="1"/>
  <c r="AI11" i="15"/>
  <c r="AI11" i="22"/>
  <c r="AJ19" i="22"/>
  <c r="AI11" i="23"/>
  <c r="AJ19" i="17"/>
  <c r="AI28" i="21"/>
  <c r="AI11" i="21"/>
  <c r="AJ15" i="21"/>
  <c r="AJ28" i="22"/>
  <c r="AJ11" i="20"/>
  <c r="AJ28" i="20"/>
  <c r="AI11" i="17"/>
  <c r="AJ19" i="23"/>
  <c r="AA28" i="9"/>
  <c r="AB15" i="9"/>
  <c r="AA11" i="9"/>
  <c r="AJ28" i="23" l="1"/>
  <c r="AJ28" i="16"/>
  <c r="AJ11" i="16"/>
  <c r="AJ28" i="17"/>
  <c r="AJ11" i="15"/>
  <c r="AJ11" i="22"/>
  <c r="AJ11" i="23"/>
  <c r="AJ11" i="17"/>
  <c r="AJ28" i="21"/>
  <c r="AJ11" i="21"/>
  <c r="AB28" i="9"/>
  <c r="AB11" i="9"/>
  <c r="AC15" i="9"/>
  <c r="AC28" i="9" l="1"/>
  <c r="AD15" i="9"/>
  <c r="AC11" i="9"/>
  <c r="AD28" i="9" l="1"/>
  <c r="AD11" i="9"/>
  <c r="AE15" i="9"/>
  <c r="AE28" i="9" l="1"/>
  <c r="AF15" i="9"/>
  <c r="AE11" i="9"/>
  <c r="AF28" i="9" l="1"/>
  <c r="AF11" i="9"/>
  <c r="AG15" i="9"/>
  <c r="AG28" i="9" l="1"/>
  <c r="AH15" i="9"/>
  <c r="AI15" i="9" s="1"/>
  <c r="AG11" i="9"/>
  <c r="AJ15" i="9" l="1"/>
  <c r="AH28" i="9"/>
  <c r="AL6" i="9" s="1"/>
  <c r="AH11" i="9"/>
  <c r="AI11" i="9" s="1"/>
  <c r="AI28" i="9" l="1"/>
  <c r="AJ11" i="9"/>
  <c r="AJ28" i="9"/>
</calcChain>
</file>

<file path=xl/sharedStrings.xml><?xml version="1.0" encoding="utf-8"?>
<sst xmlns="http://schemas.openxmlformats.org/spreadsheetml/2006/main" count="600" uniqueCount="47">
  <si>
    <t>Shelf Life</t>
  </si>
  <si>
    <t>Product</t>
  </si>
  <si>
    <t>Frequency:</t>
  </si>
  <si>
    <t>Days</t>
  </si>
  <si>
    <t>Price per item</t>
  </si>
  <si>
    <t>Servings per item</t>
  </si>
  <si>
    <t>Avocado</t>
  </si>
  <si>
    <t>Blackberries</t>
  </si>
  <si>
    <t>Bananas</t>
  </si>
  <si>
    <t>Strawberries</t>
  </si>
  <si>
    <t>Spinach</t>
  </si>
  <si>
    <t>Blueberries</t>
  </si>
  <si>
    <t>Onion</t>
  </si>
  <si>
    <t>Grapes</t>
  </si>
  <si>
    <t>Shopping?</t>
  </si>
  <si>
    <t>Quantity</t>
  </si>
  <si>
    <t>=</t>
  </si>
  <si>
    <t xml:space="preserve">a day where there is a 0 following a number means that that was the last day it was eaten and is now out of inventory </t>
  </si>
  <si>
    <t>Food Remaining</t>
  </si>
  <si>
    <t># of servings actual</t>
  </si>
  <si>
    <t>Older Food Remaining</t>
  </si>
  <si>
    <t>Obj</t>
  </si>
  <si>
    <t>Days til expiration(older food)</t>
  </si>
  <si>
    <t>Days til expiration(Remaining)</t>
  </si>
  <si>
    <t>Waste</t>
  </si>
  <si>
    <t>Shopping Frequency:</t>
  </si>
  <si>
    <t>Every</t>
  </si>
  <si>
    <t>Legend</t>
  </si>
  <si>
    <t>User Input</t>
  </si>
  <si>
    <t>Variable Cell</t>
  </si>
  <si>
    <t>Shopping Day</t>
  </si>
  <si>
    <t>Validity Matrix</t>
  </si>
  <si>
    <t>Blackberry</t>
  </si>
  <si>
    <t>Banana</t>
  </si>
  <si>
    <t>Strawberry</t>
  </si>
  <si>
    <t>Blueberry</t>
  </si>
  <si>
    <t>Grape</t>
  </si>
  <si>
    <t>Servings Per Item</t>
  </si>
  <si>
    <t>Table below shows how many items to buy per trip</t>
  </si>
  <si>
    <t>Please enter how many servings of each product you plan to eat on each day of the month</t>
  </si>
  <si>
    <t>Day</t>
  </si>
  <si>
    <t>Total Waste</t>
  </si>
  <si>
    <t>Objective</t>
  </si>
  <si>
    <t>*If cell is red, check validity matrix to see which days you cannot plan to eat a given food (it goes bad before then)</t>
  </si>
  <si>
    <t>Actual Servings</t>
  </si>
  <si>
    <t>Total Grocer Cost</t>
  </si>
  <si>
    <t>% wasted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</si>
</sst>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0.0%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2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2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charset val="1"/>
    </font>
    <font>
      <sz val="12"/>
      <color rgb="FF00B05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D9D9D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9" fontId="10" fillId="0" borderId="0" applyFont="0" applyFill="0" applyBorder="0" applyAlignment="0" applyProtection="0"/>
  </cellStyleXfs>
  <cellXfs count="48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 applyAlignment="1">
      <alignment horizontal="center"/>
    </xf>
    <xf numFmtId="0" fontId="0" fillId="3" borderId="0" xfId="0" applyFill="1"/>
    <xf numFmtId="0" fontId="3" fillId="0" borderId="0" xfId="0" applyFont="1"/>
    <xf numFmtId="0" fontId="0" fillId="0" borderId="0" xfId="0" quotePrefix="1"/>
    <xf numFmtId="0" fontId="0" fillId="4" borderId="0" xfId="0" applyFill="1"/>
    <xf numFmtId="0" fontId="0" fillId="0" borderId="3" xfId="0" applyBorder="1"/>
    <xf numFmtId="0" fontId="2" fillId="6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5" borderId="3" xfId="0" applyFill="1" applyBorder="1"/>
    <xf numFmtId="0" fontId="5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 vertical="center"/>
    </xf>
    <xf numFmtId="8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/>
    <xf numFmtId="0" fontId="2" fillId="6" borderId="0" xfId="0" applyFont="1" applyFill="1" applyAlignment="1">
      <alignment horizontal="center"/>
    </xf>
    <xf numFmtId="0" fontId="0" fillId="6" borderId="0" xfId="0" applyFill="1"/>
    <xf numFmtId="0" fontId="0" fillId="5" borderId="0" xfId="0" applyFill="1"/>
    <xf numFmtId="0" fontId="0" fillId="6" borderId="1" xfId="0" applyFill="1" applyBorder="1"/>
    <xf numFmtId="0" fontId="0" fillId="0" borderId="0" xfId="0" applyAlignment="1">
      <alignment horizontal="center"/>
    </xf>
    <xf numFmtId="0" fontId="8" fillId="0" borderId="0" xfId="0" quotePrefix="1" applyFont="1"/>
    <xf numFmtId="0" fontId="4" fillId="0" borderId="0" xfId="0" applyFont="1" applyBorder="1" applyAlignment="1">
      <alignment horizontal="center"/>
    </xf>
    <xf numFmtId="0" fontId="1" fillId="0" borderId="0" xfId="0" applyFont="1" applyBorder="1"/>
    <xf numFmtId="0" fontId="2" fillId="6" borderId="6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8" fontId="0" fillId="7" borderId="1" xfId="0" applyNumberFormat="1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7" fillId="0" borderId="0" xfId="0" applyFont="1"/>
    <xf numFmtId="0" fontId="4" fillId="0" borderId="3" xfId="0" applyFont="1" applyBorder="1" applyAlignment="1">
      <alignment horizontal="center"/>
    </xf>
    <xf numFmtId="0" fontId="0" fillId="8" borderId="0" xfId="0" applyFill="1"/>
    <xf numFmtId="0" fontId="6" fillId="0" borderId="0" xfId="0" applyFont="1"/>
    <xf numFmtId="0" fontId="0" fillId="9" borderId="7" xfId="0" applyFill="1" applyBorder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11" fillId="0" borderId="0" xfId="0" applyFont="1"/>
    <xf numFmtId="8" fontId="1" fillId="0" borderId="0" xfId="0" applyNumberFormat="1" applyFont="1"/>
    <xf numFmtId="8" fontId="1" fillId="8" borderId="0" xfId="0" applyNumberFormat="1" applyFont="1" applyFill="1"/>
    <xf numFmtId="164" fontId="1" fillId="0" borderId="0" xfId="1" applyNumberFormat="1" applyFont="1"/>
  </cellXfs>
  <cellStyles count="2">
    <cellStyle name="Normal" xfId="0" builtinId="0"/>
    <cellStyle name="Percent" xfId="1" builtinId="5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500304</xdr:colOff>
      <xdr:row>16</xdr:row>
      <xdr:rowOff>76972</xdr:rowOff>
    </xdr:from>
    <xdr:to>
      <xdr:col>41</xdr:col>
      <xdr:colOff>365607</xdr:colOff>
      <xdr:row>19</xdr:row>
      <xdr:rowOff>153940</xdr:rowOff>
    </xdr:to>
    <xdr:sp macro="[0]!AVO" textlink="">
      <xdr:nvSpPr>
        <xdr:cNvPr id="2" name="Rectangle 1">
          <a:extLst>
            <a:ext uri="{FF2B5EF4-FFF2-40B4-BE49-F238E27FC236}">
              <a16:creationId xmlns:a16="http://schemas.microsoft.com/office/drawing/2014/main" id="{18829FDA-7E45-8D49-9A9B-50B3CD631B72}"/>
            </a:ext>
          </a:extLst>
        </xdr:cNvPr>
        <xdr:cNvSpPr/>
      </xdr:nvSpPr>
      <xdr:spPr>
        <a:xfrm>
          <a:off x="13027122" y="3444396"/>
          <a:ext cx="3232727" cy="7119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AVOCADO</a:t>
          </a:r>
        </a:p>
      </xdr:txBody>
    </xdr:sp>
    <xdr:clientData/>
  </xdr:twoCellAnchor>
  <xdr:twoCellAnchor>
    <xdr:from>
      <xdr:col>36</xdr:col>
      <xdr:colOff>498764</xdr:colOff>
      <xdr:row>20</xdr:row>
      <xdr:rowOff>94674</xdr:rowOff>
    </xdr:from>
    <xdr:to>
      <xdr:col>41</xdr:col>
      <xdr:colOff>364067</xdr:colOff>
      <xdr:row>23</xdr:row>
      <xdr:rowOff>171642</xdr:rowOff>
    </xdr:to>
    <xdr:sp macro="[0]!Blackberry" textlink="">
      <xdr:nvSpPr>
        <xdr:cNvPr id="3" name="Rectangle 2">
          <a:extLst>
            <a:ext uri="{FF2B5EF4-FFF2-40B4-BE49-F238E27FC236}">
              <a16:creationId xmlns:a16="http://schemas.microsoft.com/office/drawing/2014/main" id="{3BD39B3F-4B8A-9745-BD02-0DFA7E8D4A5E}"/>
            </a:ext>
          </a:extLst>
        </xdr:cNvPr>
        <xdr:cNvSpPr/>
      </xdr:nvSpPr>
      <xdr:spPr>
        <a:xfrm>
          <a:off x="13025582" y="4308765"/>
          <a:ext cx="3232727" cy="7119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BLACKBERRY</a:t>
          </a:r>
        </a:p>
      </xdr:txBody>
    </xdr:sp>
    <xdr:clientData/>
  </xdr:twoCellAnchor>
  <xdr:twoCellAnchor>
    <xdr:from>
      <xdr:col>36</xdr:col>
      <xdr:colOff>477983</xdr:colOff>
      <xdr:row>24</xdr:row>
      <xdr:rowOff>131619</xdr:rowOff>
    </xdr:from>
    <xdr:to>
      <xdr:col>41</xdr:col>
      <xdr:colOff>343286</xdr:colOff>
      <xdr:row>27</xdr:row>
      <xdr:rowOff>208587</xdr:rowOff>
    </xdr:to>
    <xdr:sp macro="[0]!banana" textlink="">
      <xdr:nvSpPr>
        <xdr:cNvPr id="4" name="Rectangle 3">
          <a:extLst>
            <a:ext uri="{FF2B5EF4-FFF2-40B4-BE49-F238E27FC236}">
              <a16:creationId xmlns:a16="http://schemas.microsoft.com/office/drawing/2014/main" id="{574A172C-C7FD-7F41-B743-39A8392D0AAC}"/>
            </a:ext>
          </a:extLst>
        </xdr:cNvPr>
        <xdr:cNvSpPr/>
      </xdr:nvSpPr>
      <xdr:spPr>
        <a:xfrm>
          <a:off x="13004801" y="5192377"/>
          <a:ext cx="3232727" cy="7119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BANANAS</a:t>
          </a:r>
        </a:p>
      </xdr:txBody>
    </xdr:sp>
    <xdr:clientData/>
  </xdr:twoCellAnchor>
  <xdr:twoCellAnchor>
    <xdr:from>
      <xdr:col>36</xdr:col>
      <xdr:colOff>495686</xdr:colOff>
      <xdr:row>28</xdr:row>
      <xdr:rowOff>207051</xdr:rowOff>
    </xdr:from>
    <xdr:to>
      <xdr:col>41</xdr:col>
      <xdr:colOff>360989</xdr:colOff>
      <xdr:row>32</xdr:row>
      <xdr:rowOff>72352</xdr:rowOff>
    </xdr:to>
    <xdr:sp macro="[0]!strawberry" textlink="">
      <xdr:nvSpPr>
        <xdr:cNvPr id="5" name="Rectangle 4">
          <a:extLst>
            <a:ext uri="{FF2B5EF4-FFF2-40B4-BE49-F238E27FC236}">
              <a16:creationId xmlns:a16="http://schemas.microsoft.com/office/drawing/2014/main" id="{97F7C36F-874D-9F40-851B-89C9978F8675}"/>
            </a:ext>
          </a:extLst>
        </xdr:cNvPr>
        <xdr:cNvSpPr/>
      </xdr:nvSpPr>
      <xdr:spPr>
        <a:xfrm>
          <a:off x="13022504" y="6114475"/>
          <a:ext cx="3232727" cy="7119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STRAWBERRY</a:t>
          </a:r>
        </a:p>
      </xdr:txBody>
    </xdr:sp>
    <xdr:clientData/>
  </xdr:twoCellAnchor>
  <xdr:twoCellAnchor>
    <xdr:from>
      <xdr:col>36</xdr:col>
      <xdr:colOff>494147</xdr:colOff>
      <xdr:row>33</xdr:row>
      <xdr:rowOff>128541</xdr:rowOff>
    </xdr:from>
    <xdr:to>
      <xdr:col>41</xdr:col>
      <xdr:colOff>359450</xdr:colOff>
      <xdr:row>36</xdr:row>
      <xdr:rowOff>205509</xdr:rowOff>
    </xdr:to>
    <xdr:sp macro="[0]!spinach" textlink="">
      <xdr:nvSpPr>
        <xdr:cNvPr id="6" name="Rectangle 5">
          <a:extLst>
            <a:ext uri="{FF2B5EF4-FFF2-40B4-BE49-F238E27FC236}">
              <a16:creationId xmlns:a16="http://schemas.microsoft.com/office/drawing/2014/main" id="{CF99BD47-AB0C-E243-8832-1AA9788AF15E}"/>
            </a:ext>
          </a:extLst>
        </xdr:cNvPr>
        <xdr:cNvSpPr/>
      </xdr:nvSpPr>
      <xdr:spPr>
        <a:xfrm>
          <a:off x="13020965" y="7094299"/>
          <a:ext cx="3232727" cy="7119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SPINACH</a:t>
          </a:r>
        </a:p>
      </xdr:txBody>
    </xdr:sp>
    <xdr:clientData/>
  </xdr:twoCellAnchor>
  <xdr:twoCellAnchor>
    <xdr:from>
      <xdr:col>36</xdr:col>
      <xdr:colOff>492607</xdr:colOff>
      <xdr:row>37</xdr:row>
      <xdr:rowOff>203972</xdr:rowOff>
    </xdr:from>
    <xdr:to>
      <xdr:col>41</xdr:col>
      <xdr:colOff>357910</xdr:colOff>
      <xdr:row>41</xdr:row>
      <xdr:rowOff>69273</xdr:rowOff>
    </xdr:to>
    <xdr:sp macro="[0]!blueberry" textlink="">
      <xdr:nvSpPr>
        <xdr:cNvPr id="7" name="Rectangle 6">
          <a:extLst>
            <a:ext uri="{FF2B5EF4-FFF2-40B4-BE49-F238E27FC236}">
              <a16:creationId xmlns:a16="http://schemas.microsoft.com/office/drawing/2014/main" id="{C3480EFF-60AC-BD46-994F-57338E7E598B}"/>
            </a:ext>
          </a:extLst>
        </xdr:cNvPr>
        <xdr:cNvSpPr/>
      </xdr:nvSpPr>
      <xdr:spPr>
        <a:xfrm>
          <a:off x="13019425" y="8016396"/>
          <a:ext cx="3232727" cy="7119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BLUEBERRY</a:t>
          </a:r>
        </a:p>
      </xdr:txBody>
    </xdr:sp>
    <xdr:clientData/>
  </xdr:twoCellAnchor>
  <xdr:twoCellAnchor>
    <xdr:from>
      <xdr:col>36</xdr:col>
      <xdr:colOff>489528</xdr:colOff>
      <xdr:row>42</xdr:row>
      <xdr:rowOff>46953</xdr:rowOff>
    </xdr:from>
    <xdr:to>
      <xdr:col>41</xdr:col>
      <xdr:colOff>354831</xdr:colOff>
      <xdr:row>45</xdr:row>
      <xdr:rowOff>123921</xdr:rowOff>
    </xdr:to>
    <xdr:sp macro="[0]!onion" textlink="">
      <xdr:nvSpPr>
        <xdr:cNvPr id="9" name="Rectangle 8">
          <a:extLst>
            <a:ext uri="{FF2B5EF4-FFF2-40B4-BE49-F238E27FC236}">
              <a16:creationId xmlns:a16="http://schemas.microsoft.com/office/drawing/2014/main" id="{4B41333D-D667-5649-B390-F8B3BAC21D01}"/>
            </a:ext>
          </a:extLst>
        </xdr:cNvPr>
        <xdr:cNvSpPr/>
      </xdr:nvSpPr>
      <xdr:spPr>
        <a:xfrm>
          <a:off x="13016346" y="8917711"/>
          <a:ext cx="3232727" cy="7119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ONION</a:t>
          </a:r>
        </a:p>
      </xdr:txBody>
    </xdr:sp>
    <xdr:clientData/>
  </xdr:twoCellAnchor>
  <xdr:twoCellAnchor>
    <xdr:from>
      <xdr:col>36</xdr:col>
      <xdr:colOff>487989</xdr:colOff>
      <xdr:row>46</xdr:row>
      <xdr:rowOff>64657</xdr:rowOff>
    </xdr:from>
    <xdr:to>
      <xdr:col>41</xdr:col>
      <xdr:colOff>353292</xdr:colOff>
      <xdr:row>49</xdr:row>
      <xdr:rowOff>141625</xdr:rowOff>
    </xdr:to>
    <xdr:sp macro="[0]!grape" textlink="">
      <xdr:nvSpPr>
        <xdr:cNvPr id="10" name="Rectangle 9">
          <a:extLst>
            <a:ext uri="{FF2B5EF4-FFF2-40B4-BE49-F238E27FC236}">
              <a16:creationId xmlns:a16="http://schemas.microsoft.com/office/drawing/2014/main" id="{F8EAEC55-67EA-CA4D-8CB7-0A2DF6F10519}"/>
            </a:ext>
          </a:extLst>
        </xdr:cNvPr>
        <xdr:cNvSpPr/>
      </xdr:nvSpPr>
      <xdr:spPr>
        <a:xfrm>
          <a:off x="13014807" y="9782081"/>
          <a:ext cx="3232727" cy="7119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GRAPE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B632F-91AA-4E59-A002-CECA514A4A5C}">
  <sheetPr codeName="Sheet1"/>
  <dimension ref="A1:AU44"/>
  <sheetViews>
    <sheetView tabSelected="1" zoomScale="75" workbookViewId="0">
      <selection activeCell="AI20" sqref="AI20"/>
    </sheetView>
  </sheetViews>
  <sheetFormatPr baseColWidth="10" defaultColWidth="8.83203125" defaultRowHeight="16" x14ac:dyDescent="0.2"/>
  <cols>
    <col min="1" max="1" width="15.6640625" customWidth="1"/>
    <col min="4" max="4" width="11.33203125" bestFit="1" customWidth="1"/>
    <col min="5" max="34" width="3.6640625" customWidth="1"/>
    <col min="36" max="36" width="16" bestFit="1" customWidth="1"/>
  </cols>
  <sheetData>
    <row r="1" spans="1:47" x14ac:dyDescent="0.2">
      <c r="A1" s="41" t="s">
        <v>25</v>
      </c>
      <c r="B1" s="41"/>
      <c r="E1" s="35">
        <f>E3/$B$2</f>
        <v>0.2</v>
      </c>
      <c r="F1" s="35">
        <f t="shared" ref="F1:AH1" si="0">F3/$B$2</f>
        <v>0.4</v>
      </c>
      <c r="G1" s="35">
        <f t="shared" si="0"/>
        <v>0.6</v>
      </c>
      <c r="H1" s="35">
        <f t="shared" si="0"/>
        <v>0.8</v>
      </c>
      <c r="I1" s="35">
        <f t="shared" si="0"/>
        <v>1</v>
      </c>
      <c r="J1" s="35">
        <f t="shared" si="0"/>
        <v>1.2</v>
      </c>
      <c r="K1" s="35">
        <f t="shared" si="0"/>
        <v>1.4</v>
      </c>
      <c r="L1" s="35">
        <f t="shared" si="0"/>
        <v>1.6</v>
      </c>
      <c r="M1" s="35">
        <f t="shared" si="0"/>
        <v>1.8</v>
      </c>
      <c r="N1" s="35">
        <f t="shared" si="0"/>
        <v>2</v>
      </c>
      <c r="O1" s="35">
        <f t="shared" si="0"/>
        <v>2.2000000000000002</v>
      </c>
      <c r="P1" s="35">
        <f t="shared" si="0"/>
        <v>2.4</v>
      </c>
      <c r="Q1" s="35">
        <f t="shared" si="0"/>
        <v>2.6</v>
      </c>
      <c r="R1" s="35">
        <f t="shared" si="0"/>
        <v>2.8</v>
      </c>
      <c r="S1" s="35">
        <f t="shared" si="0"/>
        <v>3</v>
      </c>
      <c r="T1" s="35">
        <f t="shared" si="0"/>
        <v>3.2</v>
      </c>
      <c r="U1" s="35">
        <f t="shared" si="0"/>
        <v>3.4</v>
      </c>
      <c r="V1" s="35">
        <f t="shared" si="0"/>
        <v>3.6</v>
      </c>
      <c r="W1" s="35">
        <f t="shared" si="0"/>
        <v>3.8</v>
      </c>
      <c r="X1" s="35">
        <f t="shared" si="0"/>
        <v>4</v>
      </c>
      <c r="Y1" s="35">
        <f t="shared" si="0"/>
        <v>4.2</v>
      </c>
      <c r="Z1" s="35">
        <f t="shared" si="0"/>
        <v>4.4000000000000004</v>
      </c>
      <c r="AA1" s="35">
        <f t="shared" si="0"/>
        <v>4.5999999999999996</v>
      </c>
      <c r="AB1" s="35">
        <f t="shared" si="0"/>
        <v>4.8</v>
      </c>
      <c r="AC1" s="35">
        <f t="shared" si="0"/>
        <v>5</v>
      </c>
      <c r="AD1" s="35">
        <f t="shared" si="0"/>
        <v>5.2</v>
      </c>
      <c r="AE1" s="35">
        <f t="shared" si="0"/>
        <v>5.4</v>
      </c>
      <c r="AF1" s="35">
        <f t="shared" si="0"/>
        <v>5.6</v>
      </c>
      <c r="AG1" s="35">
        <f t="shared" si="0"/>
        <v>5.8</v>
      </c>
      <c r="AH1" s="35">
        <f t="shared" si="0"/>
        <v>6</v>
      </c>
    </row>
    <row r="2" spans="1:47" ht="15.5" customHeight="1" x14ac:dyDescent="0.2">
      <c r="A2" t="s">
        <v>26</v>
      </c>
      <c r="B2" s="24">
        <v>5</v>
      </c>
      <c r="C2" t="s">
        <v>3</v>
      </c>
      <c r="E2" s="42" t="s">
        <v>39</v>
      </c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</row>
    <row r="3" spans="1:47" x14ac:dyDescent="0.2">
      <c r="D3" s="36" t="s">
        <v>40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  <c r="J3" s="10">
        <v>6</v>
      </c>
      <c r="K3" s="10">
        <v>7</v>
      </c>
      <c r="L3" s="10">
        <v>8</v>
      </c>
      <c r="M3" s="10">
        <v>9</v>
      </c>
      <c r="N3" s="10">
        <v>10</v>
      </c>
      <c r="O3" s="10">
        <v>11</v>
      </c>
      <c r="P3" s="10">
        <v>12</v>
      </c>
      <c r="Q3" s="10">
        <v>13</v>
      </c>
      <c r="R3" s="10">
        <v>14</v>
      </c>
      <c r="S3" s="10">
        <v>15</v>
      </c>
      <c r="T3" s="10">
        <v>16</v>
      </c>
      <c r="U3" s="10">
        <v>17</v>
      </c>
      <c r="V3" s="10">
        <v>18</v>
      </c>
      <c r="W3" s="10">
        <v>19</v>
      </c>
      <c r="X3" s="10">
        <v>20</v>
      </c>
      <c r="Y3" s="10">
        <v>21</v>
      </c>
      <c r="Z3" s="10">
        <v>22</v>
      </c>
      <c r="AA3" s="10">
        <v>23</v>
      </c>
      <c r="AB3" s="10">
        <v>24</v>
      </c>
      <c r="AC3" s="10">
        <v>25</v>
      </c>
      <c r="AD3" s="10">
        <v>26</v>
      </c>
      <c r="AE3" s="10">
        <v>27</v>
      </c>
      <c r="AF3" s="10">
        <v>28</v>
      </c>
      <c r="AG3" s="10">
        <v>29</v>
      </c>
      <c r="AH3" s="10">
        <v>30</v>
      </c>
      <c r="AI3" s="27" t="s">
        <v>0</v>
      </c>
      <c r="AJ3" s="27" t="s">
        <v>37</v>
      </c>
      <c r="AK3" s="28" t="s">
        <v>4</v>
      </c>
    </row>
    <row r="4" spans="1:47" x14ac:dyDescent="0.2">
      <c r="A4" s="20" t="s">
        <v>27</v>
      </c>
      <c r="C4" s="27" t="s">
        <v>1</v>
      </c>
      <c r="D4" s="10" t="s">
        <v>6</v>
      </c>
      <c r="E4" s="9">
        <v>1</v>
      </c>
      <c r="F4" s="9">
        <v>2</v>
      </c>
      <c r="G4" s="9">
        <v>1</v>
      </c>
      <c r="H4" s="9"/>
      <c r="I4" s="9"/>
      <c r="J4" s="9">
        <v>2</v>
      </c>
      <c r="K4" s="9"/>
      <c r="L4" s="9">
        <v>1</v>
      </c>
      <c r="M4" s="9"/>
      <c r="N4" s="9"/>
      <c r="O4" s="9"/>
      <c r="P4" s="9"/>
      <c r="Q4" s="9">
        <v>3</v>
      </c>
      <c r="R4" s="9"/>
      <c r="S4" s="9"/>
      <c r="T4" s="9">
        <v>1</v>
      </c>
      <c r="U4" s="9"/>
      <c r="V4" s="9">
        <v>1</v>
      </c>
      <c r="W4" s="9"/>
      <c r="X4" s="9"/>
      <c r="Y4" s="9"/>
      <c r="Z4" s="9">
        <v>1</v>
      </c>
      <c r="AA4" s="9"/>
      <c r="AB4" s="9"/>
      <c r="AC4" s="9"/>
      <c r="AD4" s="9"/>
      <c r="AE4" s="9">
        <v>2</v>
      </c>
      <c r="AF4" s="9"/>
      <c r="AG4" s="9"/>
      <c r="AH4" s="29"/>
      <c r="AI4" s="30">
        <v>3</v>
      </c>
      <c r="AJ4" s="31">
        <v>1</v>
      </c>
      <c r="AK4" s="32">
        <v>1.25</v>
      </c>
    </row>
    <row r="5" spans="1:47" x14ac:dyDescent="0.2">
      <c r="A5" t="s">
        <v>28</v>
      </c>
      <c r="B5" s="22"/>
      <c r="D5" s="10" t="s">
        <v>7</v>
      </c>
      <c r="E5" s="9">
        <v>1</v>
      </c>
      <c r="F5" s="9"/>
      <c r="G5" s="9">
        <v>1</v>
      </c>
      <c r="H5" s="9"/>
      <c r="I5" s="9"/>
      <c r="J5" s="9"/>
      <c r="K5" s="9">
        <v>1</v>
      </c>
      <c r="L5" s="9">
        <v>1</v>
      </c>
      <c r="M5" s="9"/>
      <c r="N5" s="9"/>
      <c r="O5" s="9"/>
      <c r="P5" s="9">
        <v>2</v>
      </c>
      <c r="Q5" s="9">
        <v>2</v>
      </c>
      <c r="R5" s="9"/>
      <c r="S5" s="9"/>
      <c r="T5" s="9">
        <v>1</v>
      </c>
      <c r="U5" s="9">
        <v>1</v>
      </c>
      <c r="V5" s="9">
        <v>1</v>
      </c>
      <c r="W5" s="9"/>
      <c r="X5" s="9"/>
      <c r="Y5" s="9">
        <v>1</v>
      </c>
      <c r="Z5" s="9">
        <v>2</v>
      </c>
      <c r="AA5" s="9">
        <v>2</v>
      </c>
      <c r="AB5" s="9"/>
      <c r="AC5" s="9"/>
      <c r="AD5" s="9"/>
      <c r="AE5" s="9">
        <v>2</v>
      </c>
      <c r="AF5" s="9">
        <v>2</v>
      </c>
      <c r="AG5" s="9"/>
      <c r="AH5" s="29"/>
      <c r="AI5" s="30">
        <v>3</v>
      </c>
      <c r="AJ5" s="31">
        <v>2</v>
      </c>
      <c r="AK5" s="32">
        <v>5.99</v>
      </c>
    </row>
    <row r="6" spans="1:47" x14ac:dyDescent="0.2">
      <c r="A6" t="s">
        <v>29</v>
      </c>
      <c r="B6" s="4"/>
      <c r="D6" s="10" t="s">
        <v>8</v>
      </c>
      <c r="E6" s="9"/>
      <c r="F6" s="9">
        <v>3</v>
      </c>
      <c r="G6" s="9">
        <v>1</v>
      </c>
      <c r="H6" s="9"/>
      <c r="I6" s="9"/>
      <c r="J6" s="9">
        <v>1</v>
      </c>
      <c r="K6" s="9"/>
      <c r="L6" s="9"/>
      <c r="M6" s="9"/>
      <c r="N6" s="9"/>
      <c r="O6" s="9"/>
      <c r="P6" s="9">
        <v>2</v>
      </c>
      <c r="Q6" s="9"/>
      <c r="R6" s="9"/>
      <c r="S6" s="9"/>
      <c r="T6" s="9"/>
      <c r="U6" s="9">
        <v>1</v>
      </c>
      <c r="V6" s="9"/>
      <c r="W6" s="9"/>
      <c r="X6" s="9"/>
      <c r="Y6" s="9"/>
      <c r="Z6" s="9">
        <v>2</v>
      </c>
      <c r="AA6" s="9"/>
      <c r="AB6" s="9"/>
      <c r="AC6" s="9"/>
      <c r="AD6" s="9"/>
      <c r="AE6" s="9">
        <v>2</v>
      </c>
      <c r="AF6" s="9"/>
      <c r="AG6" s="9"/>
      <c r="AH6" s="29"/>
      <c r="AI6" s="30">
        <v>4</v>
      </c>
      <c r="AJ6" s="31">
        <v>1</v>
      </c>
      <c r="AK6" s="32">
        <v>0.27</v>
      </c>
    </row>
    <row r="7" spans="1:47" x14ac:dyDescent="0.2">
      <c r="A7" t="s">
        <v>30</v>
      </c>
      <c r="B7" s="23"/>
      <c r="D7" s="10" t="s">
        <v>9</v>
      </c>
      <c r="E7" s="9">
        <v>2</v>
      </c>
      <c r="F7" s="9"/>
      <c r="G7" s="9">
        <v>1</v>
      </c>
      <c r="H7" s="9"/>
      <c r="I7" s="9"/>
      <c r="J7" s="9"/>
      <c r="K7" s="9">
        <v>1</v>
      </c>
      <c r="L7" s="9"/>
      <c r="M7" s="9"/>
      <c r="N7" s="9"/>
      <c r="O7" s="9"/>
      <c r="P7" s="9">
        <v>1</v>
      </c>
      <c r="Q7" s="9"/>
      <c r="R7" s="9"/>
      <c r="S7" s="9"/>
      <c r="T7" s="9">
        <v>1</v>
      </c>
      <c r="U7" s="9">
        <v>1</v>
      </c>
      <c r="V7" s="9">
        <v>1</v>
      </c>
      <c r="W7" s="9"/>
      <c r="X7" s="9"/>
      <c r="Y7" s="9"/>
      <c r="Z7" s="9"/>
      <c r="AA7" s="9">
        <v>1</v>
      </c>
      <c r="AB7" s="9"/>
      <c r="AC7" s="9"/>
      <c r="AD7" s="9"/>
      <c r="AE7" s="9"/>
      <c r="AF7" s="9"/>
      <c r="AG7" s="9">
        <v>1</v>
      </c>
      <c r="AH7" s="29"/>
      <c r="AI7" s="30">
        <v>6</v>
      </c>
      <c r="AJ7" s="31">
        <v>6</v>
      </c>
      <c r="AK7" s="32">
        <v>3.49</v>
      </c>
    </row>
    <row r="8" spans="1:47" x14ac:dyDescent="0.2">
      <c r="A8" t="s">
        <v>42</v>
      </c>
      <c r="B8" s="37"/>
      <c r="D8" s="10" t="s">
        <v>10</v>
      </c>
      <c r="E8" s="9">
        <v>1</v>
      </c>
      <c r="F8" s="9"/>
      <c r="G8" s="9">
        <v>1</v>
      </c>
      <c r="H8" s="9">
        <v>1</v>
      </c>
      <c r="I8" s="9"/>
      <c r="J8" s="9"/>
      <c r="K8" s="9">
        <v>1</v>
      </c>
      <c r="L8" s="9"/>
      <c r="M8" s="9"/>
      <c r="N8" s="9"/>
      <c r="O8" s="9"/>
      <c r="P8" s="9">
        <v>1</v>
      </c>
      <c r="Q8" s="9"/>
      <c r="R8" s="9"/>
      <c r="S8" s="9"/>
      <c r="T8" s="9"/>
      <c r="U8" s="9">
        <v>1</v>
      </c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29"/>
      <c r="AI8" s="30">
        <v>6</v>
      </c>
      <c r="AJ8" s="31">
        <v>5</v>
      </c>
      <c r="AK8" s="32">
        <v>4.99</v>
      </c>
    </row>
    <row r="9" spans="1:47" x14ac:dyDescent="0.2">
      <c r="D9" s="10" t="s">
        <v>11</v>
      </c>
      <c r="E9" s="9"/>
      <c r="F9" s="9">
        <v>1</v>
      </c>
      <c r="G9" s="9">
        <v>2</v>
      </c>
      <c r="H9" s="9"/>
      <c r="I9" s="9"/>
      <c r="J9" s="9"/>
      <c r="K9" s="9"/>
      <c r="L9" s="9">
        <v>2</v>
      </c>
      <c r="M9" s="9"/>
      <c r="N9" s="9"/>
      <c r="O9" s="9"/>
      <c r="P9" s="9"/>
      <c r="Q9" s="9"/>
      <c r="R9" s="9">
        <v>2</v>
      </c>
      <c r="S9" s="9"/>
      <c r="T9" s="9"/>
      <c r="U9" s="9"/>
      <c r="V9" s="9"/>
      <c r="W9" s="9"/>
      <c r="X9" s="9">
        <v>2</v>
      </c>
      <c r="Y9" s="9"/>
      <c r="Z9" s="9"/>
      <c r="AA9" s="9"/>
      <c r="AB9" s="9"/>
      <c r="AC9" s="9">
        <v>2</v>
      </c>
      <c r="AD9" s="9"/>
      <c r="AE9" s="9"/>
      <c r="AF9" s="9"/>
      <c r="AG9" s="9"/>
      <c r="AH9" s="29"/>
      <c r="AI9" s="30">
        <v>7</v>
      </c>
      <c r="AJ9" s="31">
        <v>6</v>
      </c>
      <c r="AK9" s="32">
        <v>4.99</v>
      </c>
    </row>
    <row r="10" spans="1:47" x14ac:dyDescent="0.2">
      <c r="D10" s="10" t="s">
        <v>12</v>
      </c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>
        <v>5</v>
      </c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29"/>
      <c r="AI10" s="30">
        <v>8</v>
      </c>
      <c r="AJ10" s="31">
        <v>1</v>
      </c>
      <c r="AK10" s="32">
        <v>0.9</v>
      </c>
    </row>
    <row r="11" spans="1:47" x14ac:dyDescent="0.2">
      <c r="D11" s="10" t="s">
        <v>13</v>
      </c>
      <c r="E11" s="9"/>
      <c r="F11" s="9"/>
      <c r="G11" s="9"/>
      <c r="H11" s="9"/>
      <c r="I11" s="9">
        <v>2</v>
      </c>
      <c r="J11" s="9"/>
      <c r="K11" s="9">
        <v>3</v>
      </c>
      <c r="L11" s="9">
        <v>2</v>
      </c>
      <c r="M11" s="9"/>
      <c r="N11" s="9">
        <v>1</v>
      </c>
      <c r="O11" s="9"/>
      <c r="P11" s="9"/>
      <c r="Q11" s="9">
        <v>3</v>
      </c>
      <c r="R11" s="9"/>
      <c r="S11" s="9">
        <v>1</v>
      </c>
      <c r="T11" s="9"/>
      <c r="U11" s="9"/>
      <c r="V11" s="9"/>
      <c r="W11" s="9">
        <v>1</v>
      </c>
      <c r="X11" s="9"/>
      <c r="Y11" s="9"/>
      <c r="Z11" s="9">
        <v>3</v>
      </c>
      <c r="AA11" s="9"/>
      <c r="AB11" s="9"/>
      <c r="AC11" s="9"/>
      <c r="AD11" s="9"/>
      <c r="AE11" s="9">
        <v>1</v>
      </c>
      <c r="AF11" s="9"/>
      <c r="AG11" s="9"/>
      <c r="AH11" s="29"/>
      <c r="AI11" s="30">
        <v>10</v>
      </c>
      <c r="AJ11" s="31">
        <v>5</v>
      </c>
      <c r="AK11" s="32">
        <v>2.4900000000000002</v>
      </c>
    </row>
    <row r="12" spans="1:47" x14ac:dyDescent="0.2">
      <c r="E12" s="43" t="s">
        <v>38</v>
      </c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</row>
    <row r="13" spans="1:47" x14ac:dyDescent="0.2">
      <c r="A13" s="2" t="s">
        <v>45</v>
      </c>
      <c r="B13" s="45">
        <f>SUM(E15:AH15)*AK4+SUM(E16:AH16)*AK5+SUM(E17:AH17)*AK6+SUM(E18:AH18)*AK7+SUM(E19:AH19)*AK8+SUM(E20:AH20)*AK9+SUM(E21:AH21)*AK10+SUM(E22:AH22)*AK11</f>
        <v>308.35000499</v>
      </c>
      <c r="E13" s="10">
        <v>1</v>
      </c>
      <c r="F13" s="10">
        <v>2</v>
      </c>
      <c r="G13" s="10">
        <v>3</v>
      </c>
      <c r="H13" s="10">
        <v>4</v>
      </c>
      <c r="I13" s="10">
        <v>5</v>
      </c>
      <c r="J13" s="10">
        <v>6</v>
      </c>
      <c r="K13" s="10">
        <v>7</v>
      </c>
      <c r="L13" s="10">
        <v>8</v>
      </c>
      <c r="M13" s="10">
        <v>9</v>
      </c>
      <c r="N13" s="10">
        <v>10</v>
      </c>
      <c r="O13" s="10">
        <v>11</v>
      </c>
      <c r="P13" s="10">
        <v>12</v>
      </c>
      <c r="Q13" s="10">
        <v>13</v>
      </c>
      <c r="R13" s="10">
        <v>14</v>
      </c>
      <c r="S13" s="10">
        <v>15</v>
      </c>
      <c r="T13" s="10">
        <v>16</v>
      </c>
      <c r="U13" s="10">
        <v>17</v>
      </c>
      <c r="V13" s="10">
        <v>18</v>
      </c>
      <c r="W13" s="10">
        <v>19</v>
      </c>
      <c r="X13" s="10">
        <v>20</v>
      </c>
      <c r="Y13" s="10">
        <v>21</v>
      </c>
      <c r="Z13" s="10">
        <v>22</v>
      </c>
      <c r="AA13" s="10">
        <v>23</v>
      </c>
      <c r="AB13" s="10">
        <v>24</v>
      </c>
      <c r="AC13" s="10">
        <v>25</v>
      </c>
      <c r="AD13" s="10">
        <v>26</v>
      </c>
      <c r="AE13" s="10">
        <v>27</v>
      </c>
      <c r="AF13" s="10">
        <v>28</v>
      </c>
      <c r="AG13" s="10">
        <v>29</v>
      </c>
      <c r="AH13" s="10">
        <v>30</v>
      </c>
    </row>
    <row r="14" spans="1:47" x14ac:dyDescent="0.2">
      <c r="A14" s="2" t="s">
        <v>41</v>
      </c>
      <c r="B14" s="46">
        <f>(Avocado!AL6*(AK4/AJ4))+(Blackberries!AL6*(AK5/AJ5))+(Bananas!AL6*(AK6/AJ6))+(Strawberries!AL6*(AK7/AJ7))+(Spinach!AL6*(AK8/AJ8))+(Blueberries!AL6*(AK9/AJ9))+(Onion!AL6*(AK10/AJ10))+(Grapes!AL6*(AK11/AJ11))</f>
        <v>9.8152066643097964</v>
      </c>
      <c r="D14" s="36" t="s">
        <v>40</v>
      </c>
      <c r="E14" s="33">
        <f>IF(B2&gt;=1,1,0)</f>
        <v>1</v>
      </c>
      <c r="F14" s="33">
        <f>IF(OR(E1=1,E1=2,E1=3,E1=4,E1=5,E1=6,E1=7,E1=8,E1=9,E1=10,E1=11,E1=12,E1=13,E1=14),1,0)</f>
        <v>0</v>
      </c>
      <c r="G14" s="33">
        <f t="shared" ref="G14:AH14" si="1">IF(OR(F1=1,F1=2,F1=3,F1=4,F1=5,F1=6,F1=7,F1=8,F1=9,F1=10,F1=11,F1=12,F1=13,F1=14),1,0)</f>
        <v>0</v>
      </c>
      <c r="H14" s="33">
        <f t="shared" si="1"/>
        <v>0</v>
      </c>
      <c r="I14" s="33">
        <f t="shared" si="1"/>
        <v>0</v>
      </c>
      <c r="J14" s="33">
        <f t="shared" si="1"/>
        <v>1</v>
      </c>
      <c r="K14" s="33">
        <f t="shared" si="1"/>
        <v>0</v>
      </c>
      <c r="L14" s="33">
        <f>IF(OR(K1=1,K1=2,K1=3,K1=4,K1=5,K1=6,K1=7,K1=8,K1=9,K1=10,K1=11,K1=12,K1=13,K1=14),1,0)</f>
        <v>0</v>
      </c>
      <c r="M14" s="33">
        <f t="shared" si="1"/>
        <v>0</v>
      </c>
      <c r="N14" s="33">
        <f t="shared" si="1"/>
        <v>0</v>
      </c>
      <c r="O14" s="33">
        <f t="shared" si="1"/>
        <v>1</v>
      </c>
      <c r="P14" s="33">
        <f t="shared" si="1"/>
        <v>0</v>
      </c>
      <c r="Q14" s="33">
        <f t="shared" si="1"/>
        <v>0</v>
      </c>
      <c r="R14" s="33">
        <f t="shared" si="1"/>
        <v>0</v>
      </c>
      <c r="S14" s="33">
        <f t="shared" si="1"/>
        <v>0</v>
      </c>
      <c r="T14" s="33">
        <f t="shared" si="1"/>
        <v>1</v>
      </c>
      <c r="U14" s="33">
        <f t="shared" si="1"/>
        <v>0</v>
      </c>
      <c r="V14" s="33">
        <f t="shared" si="1"/>
        <v>0</v>
      </c>
      <c r="W14" s="33">
        <f t="shared" si="1"/>
        <v>0</v>
      </c>
      <c r="X14" s="33">
        <f t="shared" si="1"/>
        <v>0</v>
      </c>
      <c r="Y14" s="33">
        <f t="shared" si="1"/>
        <v>1</v>
      </c>
      <c r="Z14" s="33">
        <f t="shared" si="1"/>
        <v>0</v>
      </c>
      <c r="AA14" s="33">
        <f t="shared" si="1"/>
        <v>0</v>
      </c>
      <c r="AB14" s="33">
        <f t="shared" si="1"/>
        <v>0</v>
      </c>
      <c r="AC14" s="33">
        <f t="shared" si="1"/>
        <v>0</v>
      </c>
      <c r="AD14" s="33">
        <f t="shared" si="1"/>
        <v>1</v>
      </c>
      <c r="AE14" s="33">
        <f t="shared" si="1"/>
        <v>0</v>
      </c>
      <c r="AF14" s="33">
        <f t="shared" si="1"/>
        <v>0</v>
      </c>
      <c r="AG14" s="33">
        <f t="shared" si="1"/>
        <v>0</v>
      </c>
      <c r="AH14" s="33">
        <f t="shared" si="1"/>
        <v>0</v>
      </c>
    </row>
    <row r="15" spans="1:47" x14ac:dyDescent="0.2">
      <c r="A15" s="2"/>
      <c r="B15" s="2"/>
      <c r="C15" s="2" t="s">
        <v>1</v>
      </c>
      <c r="D15" s="10" t="s">
        <v>6</v>
      </c>
      <c r="E15" s="34">
        <f>IF(E$14=1,Avocado!G7,0)</f>
        <v>4</v>
      </c>
      <c r="F15" s="34">
        <f>IF(F$14=1,Avocado!H7,0)</f>
        <v>0</v>
      </c>
      <c r="G15" s="34">
        <f>IF(G$14=1,Avocado!I7,0)</f>
        <v>0</v>
      </c>
      <c r="H15" s="34">
        <f>IF(H$14=1,Avocado!J7,0)</f>
        <v>0</v>
      </c>
      <c r="I15" s="34">
        <f>IF(I$14=1,Avocado!K7,0)</f>
        <v>0</v>
      </c>
      <c r="J15" s="34">
        <f>IF(J$14=1,Avocado!L7,0)</f>
        <v>3</v>
      </c>
      <c r="K15" s="34">
        <f>IF(K$14=1,Avocado!M7,0)</f>
        <v>0</v>
      </c>
      <c r="L15" s="34">
        <f>IF(L$14=1,Avocado!N7,0)</f>
        <v>0</v>
      </c>
      <c r="M15" s="34">
        <f>IF(M$14=1,Avocado!O7,0)</f>
        <v>0</v>
      </c>
      <c r="N15" s="34">
        <f>IF(N$14=1,Avocado!P7,0)</f>
        <v>0</v>
      </c>
      <c r="O15" s="34">
        <f>IF(O$14=1,Avocado!Q7,0)</f>
        <v>3</v>
      </c>
      <c r="P15" s="34">
        <f>IF(P$14=1,Avocado!R7,0)</f>
        <v>0</v>
      </c>
      <c r="Q15" s="34">
        <f>IF(Q$14=1,Avocado!S7,0)</f>
        <v>0</v>
      </c>
      <c r="R15" s="34">
        <f>IF(R$14=1,Avocado!T7,0)</f>
        <v>0</v>
      </c>
      <c r="S15" s="34">
        <f>IF(S$14=1,Avocado!U7,0)</f>
        <v>0</v>
      </c>
      <c r="T15" s="34">
        <f>IF(T$14=1,Avocado!V7,0)</f>
        <v>2</v>
      </c>
      <c r="U15" s="34">
        <f>IF(U$14=1,Avocado!W7,0)</f>
        <v>0</v>
      </c>
      <c r="V15" s="34">
        <f>IF(V$14=1,Avocado!X7,0)</f>
        <v>0</v>
      </c>
      <c r="W15" s="34">
        <f>IF(W$14=1,Avocado!Y7,0)</f>
        <v>0</v>
      </c>
      <c r="X15" s="34">
        <f>IF(X$14=1,Avocado!Z7,0)</f>
        <v>0</v>
      </c>
      <c r="Y15" s="34">
        <f>IF(Y$14=1,Avocado!AA7,0)</f>
        <v>1</v>
      </c>
      <c r="Z15" s="34">
        <f>IF(Z$14=1,Avocado!AB7,0)</f>
        <v>0</v>
      </c>
      <c r="AA15" s="34">
        <f>IF(AA$14=1,Avocado!AC7,0)</f>
        <v>0</v>
      </c>
      <c r="AB15" s="34">
        <f>IF(AB$14=1,Avocado!AD7,0)</f>
        <v>0</v>
      </c>
      <c r="AC15" s="34">
        <f>IF(AC$14=1,Avocado!AE7,0)</f>
        <v>0</v>
      </c>
      <c r="AD15" s="34">
        <f>IF(AD$14=1,Avocado!AF7,0)</f>
        <v>2</v>
      </c>
      <c r="AE15" s="34">
        <f>IF(AE$14=1,Avocado!AG7,0)</f>
        <v>0</v>
      </c>
      <c r="AF15" s="34">
        <f>IF(AF$14=1,Avocado!AH7,0)</f>
        <v>0</v>
      </c>
      <c r="AG15" s="34">
        <f>IF(AG$14=1,Avocado!AI7,0)</f>
        <v>0</v>
      </c>
      <c r="AH15" s="34">
        <f>IF(AH$14=1,Avocado!AJ7,0)</f>
        <v>0</v>
      </c>
      <c r="AJ15" s="40">
        <f>IF(SUM(E4:AH11)-SUM(E37:AH44)=0,1,-1)</f>
        <v>1</v>
      </c>
      <c r="AU15">
        <v>0</v>
      </c>
    </row>
    <row r="16" spans="1:47" x14ac:dyDescent="0.2">
      <c r="A16" s="2" t="s">
        <v>46</v>
      </c>
      <c r="B16" s="47">
        <f>B14/B13</f>
        <v>3.1831381564686886E-2</v>
      </c>
      <c r="D16" s="10" t="s">
        <v>7</v>
      </c>
      <c r="E16" s="34">
        <f>Blackberries!G7</f>
        <v>2</v>
      </c>
      <c r="F16" s="34">
        <f>Blackberries!H7</f>
        <v>0</v>
      </c>
      <c r="G16" s="34">
        <f>Blackberries!I7</f>
        <v>0</v>
      </c>
      <c r="H16" s="34">
        <f>Blackberries!J7</f>
        <v>0</v>
      </c>
      <c r="I16" s="34">
        <f>Blackberries!K7</f>
        <v>0</v>
      </c>
      <c r="J16" s="34">
        <f>Blackberries!L7</f>
        <v>2</v>
      </c>
      <c r="K16" s="34">
        <f>Blackberries!M7</f>
        <v>0</v>
      </c>
      <c r="L16" s="34">
        <f>Blackberries!N7</f>
        <v>0</v>
      </c>
      <c r="M16" s="34">
        <f>Blackberries!O7</f>
        <v>0</v>
      </c>
      <c r="N16" s="34">
        <f>Blackberries!P7</f>
        <v>0</v>
      </c>
      <c r="O16" s="34">
        <f>Blackberries!Q7</f>
        <v>4</v>
      </c>
      <c r="P16" s="34">
        <f>Blackberries!R7</f>
        <v>0</v>
      </c>
      <c r="Q16" s="34">
        <f>Blackberries!S7</f>
        <v>0</v>
      </c>
      <c r="R16" s="34">
        <f>Blackberries!T7</f>
        <v>0</v>
      </c>
      <c r="S16" s="34">
        <f>Blackberries!U7</f>
        <v>0</v>
      </c>
      <c r="T16" s="34">
        <f>Blackberries!V7</f>
        <v>3</v>
      </c>
      <c r="U16" s="34">
        <f>Blackberries!W7</f>
        <v>0</v>
      </c>
      <c r="V16" s="34">
        <f>Blackberries!X7</f>
        <v>0</v>
      </c>
      <c r="W16" s="34">
        <f>Blackberries!Y7</f>
        <v>0</v>
      </c>
      <c r="X16" s="34">
        <f>Blackberries!Z7</f>
        <v>0</v>
      </c>
      <c r="Y16" s="34">
        <f>Blackberries!AA7</f>
        <v>5</v>
      </c>
      <c r="Z16" s="34">
        <f>Blackberries!AB7</f>
        <v>0</v>
      </c>
      <c r="AA16" s="34">
        <f>Blackberries!AC7</f>
        <v>0</v>
      </c>
      <c r="AB16" s="34">
        <f>Blackberries!AD7</f>
        <v>0</v>
      </c>
      <c r="AC16" s="34">
        <f>Blackberries!AE7</f>
        <v>0</v>
      </c>
      <c r="AD16" s="34">
        <f>Blackberries!AF7</f>
        <v>4</v>
      </c>
      <c r="AE16" s="34">
        <f>Blackberries!AG7</f>
        <v>0</v>
      </c>
      <c r="AF16" s="34">
        <f>Blackberries!AH7</f>
        <v>0</v>
      </c>
      <c r="AG16" s="34">
        <f>Blackberries!AI7</f>
        <v>0</v>
      </c>
      <c r="AH16" s="34">
        <f>Blackberries!AJ7</f>
        <v>0</v>
      </c>
      <c r="AJ16" s="38" t="s">
        <v>43</v>
      </c>
    </row>
    <row r="17" spans="4:34" x14ac:dyDescent="0.2">
      <c r="D17" s="10" t="s">
        <v>8</v>
      </c>
      <c r="E17" s="34">
        <f>IF(E$14=1,Bananas!G7,0)</f>
        <v>4</v>
      </c>
      <c r="F17" s="34">
        <f>IF(F$14=1,Bananas!H7,0)</f>
        <v>0</v>
      </c>
      <c r="G17" s="34">
        <f>IF(G$14=1,Bananas!I7,0)</f>
        <v>0</v>
      </c>
      <c r="H17" s="34">
        <f>IF(H$14=1,Bananas!J7,0)</f>
        <v>0</v>
      </c>
      <c r="I17" s="34">
        <f>IF(I$14=1,Bananas!K7,0)</f>
        <v>0</v>
      </c>
      <c r="J17" s="34">
        <f>IF(J$14=1,Bananas!L7,0)</f>
        <v>1</v>
      </c>
      <c r="K17" s="34">
        <f>IF(K$14=1,Bananas!M7,0)</f>
        <v>0</v>
      </c>
      <c r="L17" s="34">
        <f>IF(L$14=1,Bananas!N7,0)</f>
        <v>0</v>
      </c>
      <c r="M17" s="34">
        <f>IF(M$14=1,Bananas!O7,0)</f>
        <v>0</v>
      </c>
      <c r="N17" s="34">
        <f>IF(N$14=1,Bananas!P7,0)</f>
        <v>0</v>
      </c>
      <c r="O17" s="34">
        <f>IF(O$14=1,Bananas!Q7,0)</f>
        <v>2</v>
      </c>
      <c r="P17" s="34">
        <f>IF(P$14=1,Bananas!R7,0)</f>
        <v>0</v>
      </c>
      <c r="Q17" s="34">
        <f>IF(Q$14=1,Bananas!S7,0)</f>
        <v>0</v>
      </c>
      <c r="R17" s="34">
        <f>IF(R$14=1,Bananas!T7,0)</f>
        <v>0</v>
      </c>
      <c r="S17" s="34">
        <f>IF(S$14=1,Bananas!U7,0)</f>
        <v>0</v>
      </c>
      <c r="T17" s="34">
        <f>IF(T$14=1,Bananas!V7,0)</f>
        <v>1</v>
      </c>
      <c r="U17" s="34">
        <f>IF(U$14=1,Bananas!W7,0)</f>
        <v>0</v>
      </c>
      <c r="V17" s="34">
        <f>IF(V$14=1,Bananas!X7,0)</f>
        <v>0</v>
      </c>
      <c r="W17" s="34">
        <f>IF(W$14=1,Bananas!Y7,0)</f>
        <v>0</v>
      </c>
      <c r="X17" s="34">
        <f>IF(X$14=1,Bananas!Z7,0)</f>
        <v>0</v>
      </c>
      <c r="Y17" s="34">
        <f>IF(Y$14=1,Bananas!AA7,0)</f>
        <v>2</v>
      </c>
      <c r="Z17" s="34">
        <f>IF(Z$14=1,Bananas!AB7,0)</f>
        <v>0</v>
      </c>
      <c r="AA17" s="34">
        <f>IF(AA$14=1,Bananas!AC7,0)</f>
        <v>0</v>
      </c>
      <c r="AB17" s="34">
        <f>IF(AB$14=1,Bananas!AD7,0)</f>
        <v>0</v>
      </c>
      <c r="AC17" s="34">
        <f>IF(AC$14=1,Bananas!AE7,0)</f>
        <v>0</v>
      </c>
      <c r="AD17" s="34">
        <f>IF(AD$14=1,Bananas!AF7,0)</f>
        <v>2</v>
      </c>
      <c r="AE17" s="34">
        <f>IF(AE$14=1,Bananas!AG7,0)</f>
        <v>0</v>
      </c>
      <c r="AF17" s="34">
        <f>IF(AF$14=1,Bananas!AH7,0)</f>
        <v>0</v>
      </c>
      <c r="AG17" s="34">
        <f>IF(AG$14=1,Bananas!AI7,0)</f>
        <v>0</v>
      </c>
      <c r="AH17" s="34">
        <f>IF(AH$14=1,Bananas!AJ7,0)</f>
        <v>0</v>
      </c>
    </row>
    <row r="18" spans="4:34" x14ac:dyDescent="0.2">
      <c r="D18" s="10" t="s">
        <v>9</v>
      </c>
      <c r="E18" s="34">
        <f>IF(E$14=1,Strawberries!G7,0)</f>
        <v>3</v>
      </c>
      <c r="F18" s="34">
        <f>IF(F$14=1,Strawberries!H7,0)</f>
        <v>0</v>
      </c>
      <c r="G18" s="34">
        <f>IF(G$14=1,Strawberries!I7,0)</f>
        <v>0</v>
      </c>
      <c r="H18" s="34">
        <f>IF(H$14=1,Strawberries!J7,0)</f>
        <v>0</v>
      </c>
      <c r="I18" s="34">
        <f>IF(I$14=1,Strawberries!K7,0)</f>
        <v>0</v>
      </c>
      <c r="J18" s="34">
        <f>IF(J$14=1,Strawberries!L7,0)</f>
        <v>1</v>
      </c>
      <c r="K18" s="34">
        <f>IF(K$14=1,Strawberries!M7,0)</f>
        <v>0</v>
      </c>
      <c r="L18" s="34">
        <f>IF(L$14=1,Strawberries!N7,0)</f>
        <v>0</v>
      </c>
      <c r="M18" s="34">
        <f>IF(M$14=1,Strawberries!O7,0)</f>
        <v>0</v>
      </c>
      <c r="N18" s="34">
        <f>IF(N$14=1,Strawberries!P7,0)</f>
        <v>0</v>
      </c>
      <c r="O18" s="34">
        <f>IF(O$14=1,Strawberries!Q7,0)</f>
        <v>1</v>
      </c>
      <c r="P18" s="34">
        <f>IF(P$14=1,Strawberries!R7,0)</f>
        <v>0</v>
      </c>
      <c r="Q18" s="34">
        <f>IF(Q$14=1,Strawberries!S7,0)</f>
        <v>0</v>
      </c>
      <c r="R18" s="34">
        <f>IF(R$14=1,Strawberries!T7,0)</f>
        <v>0</v>
      </c>
      <c r="S18" s="34">
        <f>IF(S$14=1,Strawberries!U7,0)</f>
        <v>0</v>
      </c>
      <c r="T18" s="34">
        <f>IF(T$14=1,Strawberries!V7,0)</f>
        <v>3</v>
      </c>
      <c r="U18" s="34">
        <f>IF(U$14=1,Strawberries!W7,0)</f>
        <v>0</v>
      </c>
      <c r="V18" s="34">
        <f>IF(V$14=1,Strawberries!X7,0)</f>
        <v>0</v>
      </c>
      <c r="W18" s="34">
        <f>IF(W$14=1,Strawberries!Y7,0)</f>
        <v>0</v>
      </c>
      <c r="X18" s="34">
        <f>IF(X$14=1,Strawberries!Z7,0)</f>
        <v>0</v>
      </c>
      <c r="Y18" s="34">
        <f>IF(Y$14=1,Strawberries!AA7,0)</f>
        <v>1</v>
      </c>
      <c r="Z18" s="34">
        <f>IF(Z$14=1,Strawberries!AB7,0)</f>
        <v>0</v>
      </c>
      <c r="AA18" s="34">
        <f>IF(AA$14=1,Strawberries!AC7,0)</f>
        <v>0</v>
      </c>
      <c r="AB18" s="34">
        <f>IF(AB$14=1,Strawberries!AD7,0)</f>
        <v>0</v>
      </c>
      <c r="AC18" s="34">
        <f>IF(AC$14=1,Strawberries!AE7,0)</f>
        <v>0</v>
      </c>
      <c r="AD18" s="34">
        <f>IF(AD$14=1,Strawberries!AF7,0)</f>
        <v>1</v>
      </c>
      <c r="AE18" s="34">
        <f>IF(AE$14=1,Strawberries!AG7,0)</f>
        <v>0</v>
      </c>
      <c r="AF18" s="34">
        <f>IF(AF$14=1,Strawberries!AH7,0)</f>
        <v>0</v>
      </c>
      <c r="AG18" s="34">
        <f>IF(AG$14=1,Strawberries!AI7,0)</f>
        <v>0</v>
      </c>
      <c r="AH18" s="34">
        <f>IF(AH$14=1,Strawberries!AJ7,0)</f>
        <v>0</v>
      </c>
    </row>
    <row r="19" spans="4:34" x14ac:dyDescent="0.2">
      <c r="D19" s="10" t="s">
        <v>10</v>
      </c>
      <c r="E19" s="34">
        <f>IF(E$14=1,Spinach!G7,0)</f>
        <v>3</v>
      </c>
      <c r="F19" s="34">
        <f>IF(F$14=1,Spinach!H7,0)</f>
        <v>0</v>
      </c>
      <c r="G19" s="34">
        <f>IF(G$14=1,Spinach!I7,0)</f>
        <v>0</v>
      </c>
      <c r="H19" s="34">
        <f>IF(H$14=1,Spinach!J7,0)</f>
        <v>0</v>
      </c>
      <c r="I19" s="34">
        <f>IF(I$14=1,Spinach!K7,0)</f>
        <v>0</v>
      </c>
      <c r="J19" s="34">
        <f>IF(J$14=1,Spinach!L7,0)</f>
        <v>1</v>
      </c>
      <c r="K19" s="34">
        <f>IF(K$14=1,Spinach!M7,0)</f>
        <v>0</v>
      </c>
      <c r="L19" s="34">
        <f>IF(L$14=1,Spinach!N7,0)</f>
        <v>0</v>
      </c>
      <c r="M19" s="34">
        <f>IF(M$14=1,Spinach!O7,0)</f>
        <v>0</v>
      </c>
      <c r="N19" s="34">
        <f>IF(N$14=1,Spinach!P7,0)</f>
        <v>0</v>
      </c>
      <c r="O19" s="34">
        <f>IF(O$14=1,Spinach!Q7,0)</f>
        <v>1</v>
      </c>
      <c r="P19" s="34">
        <f>IF(P$14=1,Spinach!R7,0)</f>
        <v>0</v>
      </c>
      <c r="Q19" s="34">
        <f>IF(Q$14=1,Spinach!S7,0)</f>
        <v>0</v>
      </c>
      <c r="R19" s="34">
        <f>IF(R$14=1,Spinach!T7,0)</f>
        <v>0</v>
      </c>
      <c r="S19" s="34">
        <f>IF(S$14=1,Spinach!U7,0)</f>
        <v>0</v>
      </c>
      <c r="T19" s="34">
        <f>IF(T$14=1,Spinach!V7,0)</f>
        <v>0.999999999999999</v>
      </c>
      <c r="U19" s="34">
        <f>IF(U$14=1,Spinach!W7,0)</f>
        <v>0</v>
      </c>
      <c r="V19" s="34">
        <f>IF(V$14=1,Spinach!X7,0)</f>
        <v>0</v>
      </c>
      <c r="W19" s="34">
        <f>IF(W$14=1,Spinach!Y7,0)</f>
        <v>0</v>
      </c>
      <c r="X19" s="34">
        <f>IF(X$14=1,Spinach!Z7,0)</f>
        <v>0</v>
      </c>
      <c r="Y19" s="34">
        <f>IF(Y$14=1,Spinach!AA7,0)</f>
        <v>0</v>
      </c>
      <c r="Z19" s="34">
        <f>IF(Z$14=1,Spinach!AB7,0)</f>
        <v>0</v>
      </c>
      <c r="AA19" s="34">
        <f>IF(AA$14=1,Spinach!AC7,0)</f>
        <v>0</v>
      </c>
      <c r="AB19" s="34">
        <f>IF(AB$14=1,Spinach!AD7,0)</f>
        <v>0</v>
      </c>
      <c r="AC19" s="34">
        <f>IF(AC$14=1,Spinach!AE7,0)</f>
        <v>0</v>
      </c>
      <c r="AD19" s="34">
        <f>IF(AD$14=1,Spinach!AF7,0)</f>
        <v>0</v>
      </c>
      <c r="AE19" s="34">
        <f>IF(AE$14=1,Spinach!AG7,0)</f>
        <v>0</v>
      </c>
      <c r="AF19" s="34">
        <f>IF(AF$14=1,Spinach!AH7,0)</f>
        <v>0</v>
      </c>
      <c r="AG19" s="34">
        <f>IF(AG$14=1,Spinach!AI7,0)</f>
        <v>0</v>
      </c>
      <c r="AH19" s="34">
        <f>IF(AH$14=1,Spinach!AJ7,0)</f>
        <v>0</v>
      </c>
    </row>
    <row r="20" spans="4:34" x14ac:dyDescent="0.2">
      <c r="D20" s="10" t="s">
        <v>11</v>
      </c>
      <c r="E20" s="34">
        <f>IF(E$14=1,Blueberries!G7,0)</f>
        <v>3.0000009999999993</v>
      </c>
      <c r="F20" s="34">
        <f>IF(F$14=1,Blueberries!H7,0)</f>
        <v>0</v>
      </c>
      <c r="G20" s="34">
        <f>IF(G$14=1,Blueberries!I7,0)</f>
        <v>0</v>
      </c>
      <c r="H20" s="34">
        <f>IF(H$14=1,Blueberries!J7,0)</f>
        <v>0</v>
      </c>
      <c r="I20" s="34">
        <f>IF(I$14=1,Blueberries!K7,0)</f>
        <v>0</v>
      </c>
      <c r="J20" s="34">
        <f>IF(J$14=1,Blueberries!L7,0)</f>
        <v>2</v>
      </c>
      <c r="K20" s="34">
        <f>IF(K$14=1,Blueberries!M7,0)</f>
        <v>0</v>
      </c>
      <c r="L20" s="34">
        <f>IF(L$14=1,Blueberries!N7,0)</f>
        <v>0</v>
      </c>
      <c r="M20" s="34">
        <f>IF(M$14=1,Blueberries!O7,0)</f>
        <v>0</v>
      </c>
      <c r="N20" s="34">
        <f>IF(N$14=1,Blueberries!P7,0)</f>
        <v>0</v>
      </c>
      <c r="O20" s="34">
        <f>IF(O$14=1,Blueberries!Q7,0)</f>
        <v>2</v>
      </c>
      <c r="P20" s="34">
        <f>IF(P$14=1,Blueberries!R7,0)</f>
        <v>0</v>
      </c>
      <c r="Q20" s="34">
        <f>IF(Q$14=1,Blueberries!S7,0)</f>
        <v>0</v>
      </c>
      <c r="R20" s="34">
        <f>IF(R$14=1,Blueberries!T7,0)</f>
        <v>0</v>
      </c>
      <c r="S20" s="34">
        <f>IF(S$14=1,Blueberries!U7,0)</f>
        <v>0</v>
      </c>
      <c r="T20" s="34">
        <f>IF(T$14=1,Blueberries!V7,0)</f>
        <v>2</v>
      </c>
      <c r="U20" s="34">
        <f>IF(U$14=1,Blueberries!W7,0)</f>
        <v>0</v>
      </c>
      <c r="V20" s="34">
        <f>IF(V$14=1,Blueberries!X7,0)</f>
        <v>0</v>
      </c>
      <c r="W20" s="34">
        <f>IF(W$14=1,Blueberries!Y7,0)</f>
        <v>0</v>
      </c>
      <c r="X20" s="34">
        <f>IF(X$14=1,Blueberries!Z7,0)</f>
        <v>0</v>
      </c>
      <c r="Y20" s="34">
        <f>IF(Y$14=1,Blueberries!AA7,0)</f>
        <v>2</v>
      </c>
      <c r="Z20" s="34">
        <f>IF(Z$14=1,Blueberries!AB7,0)</f>
        <v>0</v>
      </c>
      <c r="AA20" s="34">
        <f>IF(AA$14=1,Blueberries!AC7,0)</f>
        <v>0</v>
      </c>
      <c r="AB20" s="34">
        <f>IF(AB$14=1,Blueberries!AD7,0)</f>
        <v>0</v>
      </c>
      <c r="AC20" s="34">
        <f>IF(AC$14=1,Blueberries!AE7,0)</f>
        <v>0</v>
      </c>
      <c r="AD20" s="34">
        <f>IF(AD$14=1,Blueberries!AF7,0)</f>
        <v>0</v>
      </c>
      <c r="AE20" s="34">
        <f>IF(AE$14=1,Blueberries!AG7,0)</f>
        <v>0</v>
      </c>
      <c r="AF20" s="34">
        <f>IF(AF$14=1,Blueberries!AH7,0)</f>
        <v>0</v>
      </c>
      <c r="AG20" s="34">
        <f>IF(AG$14=1,Blueberries!AI7,0)</f>
        <v>0</v>
      </c>
      <c r="AH20" s="34">
        <f>IF(AH$14=1,Blueberries!AJ7,0)</f>
        <v>0</v>
      </c>
    </row>
    <row r="21" spans="4:34" x14ac:dyDescent="0.2">
      <c r="D21" s="10" t="s">
        <v>12</v>
      </c>
      <c r="E21" s="34">
        <f>IF(E$14=1,Onion!G7,0)</f>
        <v>0</v>
      </c>
      <c r="F21" s="34">
        <f>IF(F$14=1,Onion!H7,0)</f>
        <v>0</v>
      </c>
      <c r="G21" s="34">
        <f>IF(G$14=1,Onion!I7,0)</f>
        <v>0</v>
      </c>
      <c r="H21" s="34">
        <f>IF(H$14=1,Onion!J7,0)</f>
        <v>0</v>
      </c>
      <c r="I21" s="34">
        <f>IF(I$14=1,Onion!K7,0)</f>
        <v>0</v>
      </c>
      <c r="J21" s="34">
        <f>IF(J$14=1,Onion!L7,0)</f>
        <v>0</v>
      </c>
      <c r="K21" s="34">
        <f>IF(K$14=1,Onion!M7,0)</f>
        <v>0</v>
      </c>
      <c r="L21" s="34">
        <f>IF(L$14=1,Onion!N7,0)</f>
        <v>0</v>
      </c>
      <c r="M21" s="34">
        <f>IF(M$14=1,Onion!O7,0)</f>
        <v>0</v>
      </c>
      <c r="N21" s="34">
        <f>IF(N$14=1,Onion!P7,0)</f>
        <v>0</v>
      </c>
      <c r="O21" s="34">
        <f>IF(O$14=1,Onion!Q7,0)</f>
        <v>0</v>
      </c>
      <c r="P21" s="34">
        <f>IF(P$14=1,Onion!R7,0)</f>
        <v>0</v>
      </c>
      <c r="Q21" s="34">
        <f>IF(Q$14=1,Onion!S7,0)</f>
        <v>0</v>
      </c>
      <c r="R21" s="34">
        <f>IF(R$14=1,Onion!T7,0)</f>
        <v>0</v>
      </c>
      <c r="S21" s="34">
        <f>IF(S$14=1,Onion!U7,0)</f>
        <v>0</v>
      </c>
      <c r="T21" s="34">
        <f>IF(T$14=1,Onion!V7,0)</f>
        <v>5</v>
      </c>
      <c r="U21" s="34">
        <f>IF(U$14=1,Onion!W7,0)</f>
        <v>0</v>
      </c>
      <c r="V21" s="34">
        <f>IF(V$14=1,Onion!X7,0)</f>
        <v>0</v>
      </c>
      <c r="W21" s="34">
        <f>IF(W$14=1,Onion!Y7,0)</f>
        <v>0</v>
      </c>
      <c r="X21" s="34">
        <f>IF(X$14=1,Onion!Z7,0)</f>
        <v>0</v>
      </c>
      <c r="Y21" s="34">
        <f>IF(Y$14=1,Onion!AA7,0)</f>
        <v>0</v>
      </c>
      <c r="Z21" s="34">
        <f>IF(Z$14=1,Onion!AB7,0)</f>
        <v>0</v>
      </c>
      <c r="AA21" s="34">
        <f>IF(AA$14=1,Onion!AC7,0)</f>
        <v>0</v>
      </c>
      <c r="AB21" s="34">
        <f>IF(AB$14=1,Onion!AD7,0)</f>
        <v>0</v>
      </c>
      <c r="AC21" s="34">
        <f>IF(AC$14=1,Onion!AE7,0)</f>
        <v>0</v>
      </c>
      <c r="AD21" s="34">
        <f>IF(AD$14=1,Onion!AF7,0)</f>
        <v>0</v>
      </c>
      <c r="AE21" s="34">
        <f>IF(AE$14=1,Onion!AG7,0)</f>
        <v>0</v>
      </c>
      <c r="AF21" s="34">
        <f>IF(AF$14=1,Onion!AH7,0)</f>
        <v>0</v>
      </c>
      <c r="AG21" s="34">
        <f>IF(AG$14=1,Onion!AI7,0)</f>
        <v>0</v>
      </c>
      <c r="AH21" s="34">
        <f>IF(AH$14=1,Onion!AJ7,0)</f>
        <v>0</v>
      </c>
    </row>
    <row r="22" spans="4:34" x14ac:dyDescent="0.2">
      <c r="D22" s="10" t="s">
        <v>13</v>
      </c>
      <c r="E22" s="34">
        <f>IF(E$14=1,Grapes!G7,0)</f>
        <v>2</v>
      </c>
      <c r="F22" s="34">
        <f>IF(F$14=1,Grapes!H7,0)</f>
        <v>0</v>
      </c>
      <c r="G22" s="34">
        <f>IF(G$14=1,Grapes!I7,0)</f>
        <v>0</v>
      </c>
      <c r="H22" s="34">
        <f>IF(H$14=1,Grapes!J7,0)</f>
        <v>0</v>
      </c>
      <c r="I22" s="34">
        <f>IF(I$14=1,Grapes!K7,0)</f>
        <v>0</v>
      </c>
      <c r="J22" s="34">
        <f>IF(J$14=1,Grapes!L7,0)</f>
        <v>6</v>
      </c>
      <c r="K22" s="34">
        <f>IF(K$14=1,Grapes!M7,0)</f>
        <v>0</v>
      </c>
      <c r="L22" s="34">
        <f>IF(L$14=1,Grapes!N7,0)</f>
        <v>0</v>
      </c>
      <c r="M22" s="34">
        <f>IF(M$14=1,Grapes!O7,0)</f>
        <v>0</v>
      </c>
      <c r="N22" s="34">
        <f>IF(N$14=1,Grapes!P7,0)</f>
        <v>0</v>
      </c>
      <c r="O22" s="34">
        <f>IF(O$14=1,Grapes!Q7,0)</f>
        <v>4</v>
      </c>
      <c r="P22" s="34">
        <f>IF(P$14=1,Grapes!R7,0)</f>
        <v>0</v>
      </c>
      <c r="Q22" s="34">
        <f>IF(Q$14=1,Grapes!S7,0)</f>
        <v>0</v>
      </c>
      <c r="R22" s="34">
        <f>IF(R$14=1,Grapes!T7,0)</f>
        <v>0</v>
      </c>
      <c r="S22" s="34">
        <f>IF(S$14=1,Grapes!U7,0)</f>
        <v>0</v>
      </c>
      <c r="T22" s="34">
        <f>IF(T$14=1,Grapes!V7,0)</f>
        <v>1</v>
      </c>
      <c r="U22" s="34">
        <f>IF(U$14=1,Grapes!W7,0)</f>
        <v>0</v>
      </c>
      <c r="V22" s="34">
        <f>IF(V$14=1,Grapes!X7,0)</f>
        <v>0</v>
      </c>
      <c r="W22" s="34">
        <f>IF(W$14=1,Grapes!Y7,0)</f>
        <v>0</v>
      </c>
      <c r="X22" s="34">
        <f>IF(X$14=1,Grapes!Z7,0)</f>
        <v>0</v>
      </c>
      <c r="Y22" s="34">
        <f>IF(Y$14=1,Grapes!AA7,0)</f>
        <v>3</v>
      </c>
      <c r="Z22" s="34">
        <f>IF(Z$14=1,Grapes!AB7,0)</f>
        <v>0</v>
      </c>
      <c r="AA22" s="34">
        <f>IF(AA$14=1,Grapes!AC7,0)</f>
        <v>0</v>
      </c>
      <c r="AB22" s="34">
        <f>IF(AB$14=1,Grapes!AD7,0)</f>
        <v>0</v>
      </c>
      <c r="AC22" s="34">
        <f>IF(AC$14=1,Grapes!AE7,0)</f>
        <v>0</v>
      </c>
      <c r="AD22" s="34">
        <f>IF(AD$14=1,Grapes!AF7,0)</f>
        <v>1</v>
      </c>
      <c r="AE22" s="34">
        <f>IF(AE$14=1,Grapes!AG7,0)</f>
        <v>0</v>
      </c>
      <c r="AF22" s="34">
        <f>IF(AF$14=1,Grapes!AH7,0)</f>
        <v>0</v>
      </c>
      <c r="AG22" s="34">
        <f>IF(AG$14=1,Grapes!AI7,0)</f>
        <v>0</v>
      </c>
      <c r="AH22" s="34">
        <f>IF(AH$14=1,Grapes!AJ7,0)</f>
        <v>0</v>
      </c>
    </row>
    <row r="23" spans="4:34" x14ac:dyDescent="0.2">
      <c r="E23" s="44">
        <f>IF(E14=1,1,#REF!+1)</f>
        <v>1</v>
      </c>
      <c r="F23" s="44">
        <f t="shared" ref="F23:AH23" si="2">IF(F14=1,1,E23+1)</f>
        <v>2</v>
      </c>
      <c r="G23" s="44">
        <f t="shared" si="2"/>
        <v>3</v>
      </c>
      <c r="H23" s="44">
        <f t="shared" si="2"/>
        <v>4</v>
      </c>
      <c r="I23" s="44">
        <f t="shared" si="2"/>
        <v>5</v>
      </c>
      <c r="J23" s="44">
        <f t="shared" si="2"/>
        <v>1</v>
      </c>
      <c r="K23" s="44">
        <f t="shared" si="2"/>
        <v>2</v>
      </c>
      <c r="L23" s="44">
        <f t="shared" si="2"/>
        <v>3</v>
      </c>
      <c r="M23" s="44">
        <f t="shared" si="2"/>
        <v>4</v>
      </c>
      <c r="N23" s="44">
        <f t="shared" si="2"/>
        <v>5</v>
      </c>
      <c r="O23" s="44">
        <f t="shared" si="2"/>
        <v>1</v>
      </c>
      <c r="P23" s="44">
        <f t="shared" si="2"/>
        <v>2</v>
      </c>
      <c r="Q23" s="44">
        <f t="shared" si="2"/>
        <v>3</v>
      </c>
      <c r="R23" s="44">
        <f t="shared" si="2"/>
        <v>4</v>
      </c>
      <c r="S23" s="44">
        <f t="shared" si="2"/>
        <v>5</v>
      </c>
      <c r="T23" s="44">
        <f t="shared" si="2"/>
        <v>1</v>
      </c>
      <c r="U23" s="44">
        <f t="shared" si="2"/>
        <v>2</v>
      </c>
      <c r="V23" s="44">
        <f t="shared" si="2"/>
        <v>3</v>
      </c>
      <c r="W23" s="44">
        <f t="shared" si="2"/>
        <v>4</v>
      </c>
      <c r="X23" s="44">
        <f t="shared" si="2"/>
        <v>5</v>
      </c>
      <c r="Y23" s="44">
        <f t="shared" si="2"/>
        <v>1</v>
      </c>
      <c r="Z23" s="44">
        <f t="shared" si="2"/>
        <v>2</v>
      </c>
      <c r="AA23" s="44">
        <f t="shared" si="2"/>
        <v>3</v>
      </c>
      <c r="AB23" s="44">
        <f t="shared" si="2"/>
        <v>4</v>
      </c>
      <c r="AC23" s="44">
        <f t="shared" si="2"/>
        <v>5</v>
      </c>
      <c r="AD23" s="44">
        <f t="shared" si="2"/>
        <v>1</v>
      </c>
      <c r="AE23" s="44">
        <f t="shared" si="2"/>
        <v>2</v>
      </c>
      <c r="AF23" s="44">
        <f t="shared" si="2"/>
        <v>3</v>
      </c>
      <c r="AG23" s="44">
        <f t="shared" si="2"/>
        <v>4</v>
      </c>
      <c r="AH23" s="44">
        <f t="shared" si="2"/>
        <v>5</v>
      </c>
    </row>
    <row r="24" spans="4:34" x14ac:dyDescent="0.2">
      <c r="D24" s="41" t="s">
        <v>31</v>
      </c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</row>
    <row r="25" spans="4:34" x14ac:dyDescent="0.2">
      <c r="D25" s="11" t="s">
        <v>1</v>
      </c>
      <c r="E25" s="10">
        <v>1</v>
      </c>
      <c r="F25" s="10">
        <v>2</v>
      </c>
      <c r="G25" s="10">
        <v>3</v>
      </c>
      <c r="H25" s="10">
        <v>4</v>
      </c>
      <c r="I25" s="10">
        <v>5</v>
      </c>
      <c r="J25" s="10">
        <v>6</v>
      </c>
      <c r="K25" s="10">
        <v>7</v>
      </c>
      <c r="L25" s="10">
        <v>8</v>
      </c>
      <c r="M25" s="10">
        <v>9</v>
      </c>
      <c r="N25" s="10">
        <v>10</v>
      </c>
      <c r="O25" s="10">
        <v>11</v>
      </c>
      <c r="P25" s="10">
        <v>12</v>
      </c>
      <c r="Q25" s="10">
        <v>13</v>
      </c>
      <c r="R25" s="10">
        <v>14</v>
      </c>
      <c r="S25" s="10">
        <v>15</v>
      </c>
      <c r="T25" s="10">
        <v>16</v>
      </c>
      <c r="U25" s="10">
        <v>17</v>
      </c>
      <c r="V25" s="10">
        <v>18</v>
      </c>
      <c r="W25" s="10">
        <v>19</v>
      </c>
      <c r="X25" s="10">
        <v>20</v>
      </c>
      <c r="Y25" s="10">
        <v>21</v>
      </c>
      <c r="Z25" s="10">
        <v>22</v>
      </c>
      <c r="AA25" s="10">
        <v>23</v>
      </c>
      <c r="AB25" s="10">
        <v>24</v>
      </c>
      <c r="AC25" s="10">
        <v>25</v>
      </c>
      <c r="AD25" s="10">
        <v>26</v>
      </c>
      <c r="AE25" s="10">
        <v>27</v>
      </c>
      <c r="AF25" s="10">
        <v>28</v>
      </c>
      <c r="AG25" s="10">
        <v>29</v>
      </c>
      <c r="AH25" s="10">
        <v>30</v>
      </c>
    </row>
    <row r="26" spans="4:34" x14ac:dyDescent="0.2">
      <c r="D26" s="3" t="s">
        <v>6</v>
      </c>
      <c r="E26" s="9">
        <f>IF(E23&lt;=$AI$4,E4,"no")</f>
        <v>1</v>
      </c>
      <c r="F26" s="9">
        <f t="shared" ref="E26:AH26" si="3">IF(F23&lt;=$AI$4,F4,"no")</f>
        <v>2</v>
      </c>
      <c r="G26" s="9">
        <f>IF(G23&lt;=$AI$4,G4,"no")</f>
        <v>1</v>
      </c>
      <c r="H26" s="9" t="str">
        <f t="shared" si="3"/>
        <v>no</v>
      </c>
      <c r="I26" s="9" t="str">
        <f t="shared" si="3"/>
        <v>no</v>
      </c>
      <c r="J26" s="9">
        <f t="shared" si="3"/>
        <v>2</v>
      </c>
      <c r="K26" s="9">
        <f t="shared" si="3"/>
        <v>0</v>
      </c>
      <c r="L26" s="9">
        <f>IF(L23&lt;=$AI$4,L4,"no")</f>
        <v>1</v>
      </c>
      <c r="M26" s="9" t="str">
        <f>IF(M23&lt;=$AI$4,M4,"no")</f>
        <v>no</v>
      </c>
      <c r="N26" s="9" t="str">
        <f>IF(N23&lt;=$AI$4,N4,"no")</f>
        <v>no</v>
      </c>
      <c r="O26" s="9">
        <f t="shared" si="3"/>
        <v>0</v>
      </c>
      <c r="P26" s="9">
        <f t="shared" si="3"/>
        <v>0</v>
      </c>
      <c r="Q26" s="9">
        <f t="shared" si="3"/>
        <v>3</v>
      </c>
      <c r="R26" s="9" t="str">
        <f t="shared" si="3"/>
        <v>no</v>
      </c>
      <c r="S26" s="9" t="str">
        <f t="shared" si="3"/>
        <v>no</v>
      </c>
      <c r="T26" s="9">
        <f t="shared" si="3"/>
        <v>1</v>
      </c>
      <c r="U26" s="9">
        <f>IF(U23&lt;=$AI$4,U4,"no")</f>
        <v>0</v>
      </c>
      <c r="V26" s="9">
        <f t="shared" si="3"/>
        <v>1</v>
      </c>
      <c r="W26" s="9" t="str">
        <f t="shared" si="3"/>
        <v>no</v>
      </c>
      <c r="X26" s="9" t="str">
        <f t="shared" si="3"/>
        <v>no</v>
      </c>
      <c r="Y26" s="9">
        <f t="shared" si="3"/>
        <v>0</v>
      </c>
      <c r="Z26" s="9">
        <f t="shared" si="3"/>
        <v>1</v>
      </c>
      <c r="AA26" s="9">
        <f>IF(AA23&lt;=$AI$4,AA4,"no")</f>
        <v>0</v>
      </c>
      <c r="AB26" s="9" t="str">
        <f t="shared" si="3"/>
        <v>no</v>
      </c>
      <c r="AC26" s="9" t="str">
        <f t="shared" si="3"/>
        <v>no</v>
      </c>
      <c r="AD26" s="9">
        <f t="shared" si="3"/>
        <v>0</v>
      </c>
      <c r="AE26" s="9">
        <f t="shared" si="3"/>
        <v>2</v>
      </c>
      <c r="AF26" s="9">
        <f t="shared" si="3"/>
        <v>0</v>
      </c>
      <c r="AG26" s="9" t="str">
        <f>IF(AG23&lt;=$AI$4,AG4,"no")</f>
        <v>no</v>
      </c>
      <c r="AH26" s="9" t="str">
        <f t="shared" si="3"/>
        <v>no</v>
      </c>
    </row>
    <row r="27" spans="4:34" x14ac:dyDescent="0.2">
      <c r="D27" s="3" t="s">
        <v>7</v>
      </c>
      <c r="E27" s="9">
        <f>IF(E23&lt;=$AI$5,E5,"no")</f>
        <v>1</v>
      </c>
      <c r="F27" s="9">
        <f t="shared" ref="E27:AH27" si="4">IF(F23&lt;=$AI$5,F5,"no")</f>
        <v>0</v>
      </c>
      <c r="G27" s="9">
        <f t="shared" si="4"/>
        <v>1</v>
      </c>
      <c r="H27" s="9" t="str">
        <f t="shared" si="4"/>
        <v>no</v>
      </c>
      <c r="I27" s="9" t="str">
        <f t="shared" si="4"/>
        <v>no</v>
      </c>
      <c r="J27" s="9">
        <f t="shared" si="4"/>
        <v>0</v>
      </c>
      <c r="K27" s="9">
        <f t="shared" si="4"/>
        <v>1</v>
      </c>
      <c r="L27" s="9">
        <f t="shared" si="4"/>
        <v>1</v>
      </c>
      <c r="M27" s="9" t="str">
        <f t="shared" si="4"/>
        <v>no</v>
      </c>
      <c r="N27" s="9" t="str">
        <f t="shared" si="4"/>
        <v>no</v>
      </c>
      <c r="O27" s="9">
        <f t="shared" si="4"/>
        <v>0</v>
      </c>
      <c r="P27" s="9">
        <f t="shared" si="4"/>
        <v>2</v>
      </c>
      <c r="Q27" s="9">
        <f t="shared" si="4"/>
        <v>2</v>
      </c>
      <c r="R27" s="9" t="str">
        <f t="shared" si="4"/>
        <v>no</v>
      </c>
      <c r="S27" s="9" t="str">
        <f t="shared" si="4"/>
        <v>no</v>
      </c>
      <c r="T27" s="9">
        <f t="shared" si="4"/>
        <v>1</v>
      </c>
      <c r="U27" s="9">
        <f t="shared" si="4"/>
        <v>1</v>
      </c>
      <c r="V27" s="9">
        <f t="shared" si="4"/>
        <v>1</v>
      </c>
      <c r="W27" s="9" t="str">
        <f t="shared" si="4"/>
        <v>no</v>
      </c>
      <c r="X27" s="9" t="str">
        <f t="shared" si="4"/>
        <v>no</v>
      </c>
      <c r="Y27" s="9">
        <f t="shared" si="4"/>
        <v>1</v>
      </c>
      <c r="Z27" s="9">
        <f t="shared" si="4"/>
        <v>2</v>
      </c>
      <c r="AA27" s="9">
        <f t="shared" si="4"/>
        <v>2</v>
      </c>
      <c r="AB27" s="9" t="str">
        <f t="shared" si="4"/>
        <v>no</v>
      </c>
      <c r="AC27" s="9" t="str">
        <f t="shared" si="4"/>
        <v>no</v>
      </c>
      <c r="AD27" s="9">
        <f t="shared" si="4"/>
        <v>0</v>
      </c>
      <c r="AE27" s="9">
        <f t="shared" si="4"/>
        <v>2</v>
      </c>
      <c r="AF27" s="9">
        <f t="shared" si="4"/>
        <v>2</v>
      </c>
      <c r="AG27" s="9" t="str">
        <f t="shared" si="4"/>
        <v>no</v>
      </c>
      <c r="AH27" s="9" t="str">
        <f t="shared" si="4"/>
        <v>no</v>
      </c>
    </row>
    <row r="28" spans="4:34" x14ac:dyDescent="0.2">
      <c r="D28" s="3" t="s">
        <v>8</v>
      </c>
      <c r="E28" s="9">
        <f t="shared" ref="E28:AH28" si="5">IF(E23&lt;=$AI$6,E6,"no")</f>
        <v>0</v>
      </c>
      <c r="F28" s="9">
        <f t="shared" si="5"/>
        <v>3</v>
      </c>
      <c r="G28" s="9">
        <f t="shared" si="5"/>
        <v>1</v>
      </c>
      <c r="H28" s="9">
        <f t="shared" si="5"/>
        <v>0</v>
      </c>
      <c r="I28" s="9" t="str">
        <f t="shared" si="5"/>
        <v>no</v>
      </c>
      <c r="J28" s="9">
        <f t="shared" si="5"/>
        <v>1</v>
      </c>
      <c r="K28" s="9">
        <f t="shared" si="5"/>
        <v>0</v>
      </c>
      <c r="L28" s="9">
        <f t="shared" si="5"/>
        <v>0</v>
      </c>
      <c r="M28" s="9">
        <f t="shared" si="5"/>
        <v>0</v>
      </c>
      <c r="N28" s="9" t="str">
        <f t="shared" si="5"/>
        <v>no</v>
      </c>
      <c r="O28" s="9">
        <f t="shared" si="5"/>
        <v>0</v>
      </c>
      <c r="P28" s="9">
        <f t="shared" si="5"/>
        <v>2</v>
      </c>
      <c r="Q28" s="9">
        <f t="shared" si="5"/>
        <v>0</v>
      </c>
      <c r="R28" s="9">
        <f t="shared" si="5"/>
        <v>0</v>
      </c>
      <c r="S28" s="9" t="str">
        <f t="shared" si="5"/>
        <v>no</v>
      </c>
      <c r="T28" s="9">
        <f t="shared" si="5"/>
        <v>0</v>
      </c>
      <c r="U28" s="9">
        <f t="shared" si="5"/>
        <v>1</v>
      </c>
      <c r="V28" s="9">
        <f t="shared" si="5"/>
        <v>0</v>
      </c>
      <c r="W28" s="9">
        <f t="shared" si="5"/>
        <v>0</v>
      </c>
      <c r="X28" s="9" t="str">
        <f t="shared" si="5"/>
        <v>no</v>
      </c>
      <c r="Y28" s="9">
        <f t="shared" si="5"/>
        <v>0</v>
      </c>
      <c r="Z28" s="9">
        <f t="shared" si="5"/>
        <v>2</v>
      </c>
      <c r="AA28" s="9">
        <f t="shared" si="5"/>
        <v>0</v>
      </c>
      <c r="AB28" s="9">
        <f t="shared" si="5"/>
        <v>0</v>
      </c>
      <c r="AC28" s="9" t="str">
        <f t="shared" si="5"/>
        <v>no</v>
      </c>
      <c r="AD28" s="9">
        <f t="shared" si="5"/>
        <v>0</v>
      </c>
      <c r="AE28" s="9">
        <f t="shared" si="5"/>
        <v>2</v>
      </c>
      <c r="AF28" s="9">
        <f t="shared" si="5"/>
        <v>0</v>
      </c>
      <c r="AG28" s="9">
        <f t="shared" si="5"/>
        <v>0</v>
      </c>
      <c r="AH28" s="9" t="str">
        <f t="shared" si="5"/>
        <v>no</v>
      </c>
    </row>
    <row r="29" spans="4:34" x14ac:dyDescent="0.2">
      <c r="D29" s="3" t="s">
        <v>9</v>
      </c>
      <c r="E29" s="9">
        <f t="shared" ref="E29:AH29" si="6">IF(E23&lt;=$AI$7,E7,"no")</f>
        <v>2</v>
      </c>
      <c r="F29" s="9">
        <f t="shared" si="6"/>
        <v>0</v>
      </c>
      <c r="G29" s="9">
        <f t="shared" si="6"/>
        <v>1</v>
      </c>
      <c r="H29" s="9">
        <f t="shared" si="6"/>
        <v>0</v>
      </c>
      <c r="I29" s="9">
        <f t="shared" si="6"/>
        <v>0</v>
      </c>
      <c r="J29" s="9">
        <f t="shared" si="6"/>
        <v>0</v>
      </c>
      <c r="K29" s="9">
        <f t="shared" si="6"/>
        <v>1</v>
      </c>
      <c r="L29" s="9">
        <f t="shared" si="6"/>
        <v>0</v>
      </c>
      <c r="M29" s="9">
        <f t="shared" si="6"/>
        <v>0</v>
      </c>
      <c r="N29" s="9">
        <f t="shared" si="6"/>
        <v>0</v>
      </c>
      <c r="O29" s="9">
        <f t="shared" si="6"/>
        <v>0</v>
      </c>
      <c r="P29" s="9">
        <f t="shared" si="6"/>
        <v>1</v>
      </c>
      <c r="Q29" s="9">
        <f t="shared" si="6"/>
        <v>0</v>
      </c>
      <c r="R29" s="9">
        <f t="shared" si="6"/>
        <v>0</v>
      </c>
      <c r="S29" s="9">
        <f t="shared" si="6"/>
        <v>0</v>
      </c>
      <c r="T29" s="9">
        <f t="shared" si="6"/>
        <v>1</v>
      </c>
      <c r="U29" s="9">
        <f t="shared" si="6"/>
        <v>1</v>
      </c>
      <c r="V29" s="9">
        <f t="shared" si="6"/>
        <v>1</v>
      </c>
      <c r="W29" s="9">
        <f t="shared" si="6"/>
        <v>0</v>
      </c>
      <c r="X29" s="9">
        <f t="shared" si="6"/>
        <v>0</v>
      </c>
      <c r="Y29" s="9">
        <f t="shared" si="6"/>
        <v>0</v>
      </c>
      <c r="Z29" s="9">
        <f t="shared" si="6"/>
        <v>0</v>
      </c>
      <c r="AA29" s="9">
        <f t="shared" si="6"/>
        <v>1</v>
      </c>
      <c r="AB29" s="9">
        <f t="shared" si="6"/>
        <v>0</v>
      </c>
      <c r="AC29" s="9">
        <f t="shared" si="6"/>
        <v>0</v>
      </c>
      <c r="AD29" s="9">
        <f t="shared" si="6"/>
        <v>0</v>
      </c>
      <c r="AE29" s="9">
        <f t="shared" si="6"/>
        <v>0</v>
      </c>
      <c r="AF29" s="9">
        <f t="shared" si="6"/>
        <v>0</v>
      </c>
      <c r="AG29" s="9">
        <f t="shared" si="6"/>
        <v>1</v>
      </c>
      <c r="AH29" s="9">
        <f t="shared" si="6"/>
        <v>0</v>
      </c>
    </row>
    <row r="30" spans="4:34" x14ac:dyDescent="0.2">
      <c r="D30" s="3" t="s">
        <v>10</v>
      </c>
      <c r="E30" s="9">
        <f t="shared" ref="E30:AH30" si="7">IF(E23&lt;=$AI$8,E8,"no")</f>
        <v>1</v>
      </c>
      <c r="F30" s="9">
        <f t="shared" si="7"/>
        <v>0</v>
      </c>
      <c r="G30" s="9">
        <f t="shared" si="7"/>
        <v>1</v>
      </c>
      <c r="H30" s="9">
        <f t="shared" si="7"/>
        <v>1</v>
      </c>
      <c r="I30" s="9">
        <f t="shared" si="7"/>
        <v>0</v>
      </c>
      <c r="J30" s="9">
        <f t="shared" si="7"/>
        <v>0</v>
      </c>
      <c r="K30" s="9">
        <f t="shared" si="7"/>
        <v>1</v>
      </c>
      <c r="L30" s="9">
        <f t="shared" si="7"/>
        <v>0</v>
      </c>
      <c r="M30" s="9">
        <f t="shared" si="7"/>
        <v>0</v>
      </c>
      <c r="N30" s="9">
        <f t="shared" si="7"/>
        <v>0</v>
      </c>
      <c r="O30" s="9">
        <f t="shared" si="7"/>
        <v>0</v>
      </c>
      <c r="P30" s="9">
        <f t="shared" si="7"/>
        <v>1</v>
      </c>
      <c r="Q30" s="9">
        <f t="shared" si="7"/>
        <v>0</v>
      </c>
      <c r="R30" s="9">
        <f t="shared" si="7"/>
        <v>0</v>
      </c>
      <c r="S30" s="9">
        <f t="shared" si="7"/>
        <v>0</v>
      </c>
      <c r="T30" s="9">
        <f t="shared" si="7"/>
        <v>0</v>
      </c>
      <c r="U30" s="9">
        <f t="shared" si="7"/>
        <v>1</v>
      </c>
      <c r="V30" s="9">
        <f t="shared" si="7"/>
        <v>0</v>
      </c>
      <c r="W30" s="9">
        <f t="shared" si="7"/>
        <v>0</v>
      </c>
      <c r="X30" s="9">
        <f t="shared" si="7"/>
        <v>0</v>
      </c>
      <c r="Y30" s="9">
        <f t="shared" si="7"/>
        <v>0</v>
      </c>
      <c r="Z30" s="9">
        <f t="shared" si="7"/>
        <v>0</v>
      </c>
      <c r="AA30" s="9">
        <f t="shared" si="7"/>
        <v>0</v>
      </c>
      <c r="AB30" s="9">
        <f t="shared" si="7"/>
        <v>0</v>
      </c>
      <c r="AC30" s="9">
        <f t="shared" si="7"/>
        <v>0</v>
      </c>
      <c r="AD30" s="9">
        <f t="shared" si="7"/>
        <v>0</v>
      </c>
      <c r="AE30" s="9">
        <f t="shared" si="7"/>
        <v>0</v>
      </c>
      <c r="AF30" s="9">
        <f t="shared" si="7"/>
        <v>0</v>
      </c>
      <c r="AG30" s="9">
        <f t="shared" si="7"/>
        <v>0</v>
      </c>
      <c r="AH30" s="9">
        <f t="shared" si="7"/>
        <v>0</v>
      </c>
    </row>
    <row r="31" spans="4:34" x14ac:dyDescent="0.2">
      <c r="D31" s="3" t="s">
        <v>11</v>
      </c>
      <c r="E31" s="9">
        <f t="shared" ref="E31:AH31" si="8">IF(E23&lt;=$AI$9,E9,"no")</f>
        <v>0</v>
      </c>
      <c r="F31" s="9">
        <f t="shared" si="8"/>
        <v>1</v>
      </c>
      <c r="G31" s="9">
        <f t="shared" si="8"/>
        <v>2</v>
      </c>
      <c r="H31" s="9">
        <f t="shared" si="8"/>
        <v>0</v>
      </c>
      <c r="I31" s="9">
        <f t="shared" si="8"/>
        <v>0</v>
      </c>
      <c r="J31" s="9">
        <f t="shared" si="8"/>
        <v>0</v>
      </c>
      <c r="K31" s="9">
        <f t="shared" si="8"/>
        <v>0</v>
      </c>
      <c r="L31" s="9">
        <f t="shared" si="8"/>
        <v>2</v>
      </c>
      <c r="M31" s="9">
        <f t="shared" si="8"/>
        <v>0</v>
      </c>
      <c r="N31" s="9">
        <f t="shared" si="8"/>
        <v>0</v>
      </c>
      <c r="O31" s="9">
        <f t="shared" si="8"/>
        <v>0</v>
      </c>
      <c r="P31" s="9">
        <f t="shared" si="8"/>
        <v>0</v>
      </c>
      <c r="Q31" s="9">
        <f t="shared" si="8"/>
        <v>0</v>
      </c>
      <c r="R31" s="9">
        <f t="shared" si="8"/>
        <v>2</v>
      </c>
      <c r="S31" s="9">
        <f t="shared" si="8"/>
        <v>0</v>
      </c>
      <c r="T31" s="9">
        <f t="shared" si="8"/>
        <v>0</v>
      </c>
      <c r="U31" s="9">
        <f t="shared" si="8"/>
        <v>0</v>
      </c>
      <c r="V31" s="9">
        <f t="shared" si="8"/>
        <v>0</v>
      </c>
      <c r="W31" s="9">
        <f t="shared" si="8"/>
        <v>0</v>
      </c>
      <c r="X31" s="9">
        <f t="shared" si="8"/>
        <v>2</v>
      </c>
      <c r="Y31" s="9">
        <f t="shared" si="8"/>
        <v>0</v>
      </c>
      <c r="Z31" s="9">
        <f t="shared" si="8"/>
        <v>0</v>
      </c>
      <c r="AA31" s="9">
        <f t="shared" si="8"/>
        <v>0</v>
      </c>
      <c r="AB31" s="9">
        <f t="shared" si="8"/>
        <v>0</v>
      </c>
      <c r="AC31" s="9">
        <f t="shared" si="8"/>
        <v>2</v>
      </c>
      <c r="AD31" s="9">
        <f t="shared" si="8"/>
        <v>0</v>
      </c>
      <c r="AE31" s="9">
        <f t="shared" si="8"/>
        <v>0</v>
      </c>
      <c r="AF31" s="9">
        <f t="shared" si="8"/>
        <v>0</v>
      </c>
      <c r="AG31" s="9">
        <f t="shared" si="8"/>
        <v>0</v>
      </c>
      <c r="AH31" s="9">
        <f t="shared" si="8"/>
        <v>0</v>
      </c>
    </row>
    <row r="32" spans="4:34" x14ac:dyDescent="0.2">
      <c r="D32" s="3" t="s">
        <v>12</v>
      </c>
      <c r="E32" s="9">
        <f t="shared" ref="E32:AH32" si="9">IF(E23&lt;=$AI$10,E10,"no")</f>
        <v>0</v>
      </c>
      <c r="F32" s="9">
        <f t="shared" si="9"/>
        <v>0</v>
      </c>
      <c r="G32" s="9">
        <f t="shared" si="9"/>
        <v>0</v>
      </c>
      <c r="H32" s="9">
        <f t="shared" si="9"/>
        <v>0</v>
      </c>
      <c r="I32" s="9">
        <f t="shared" si="9"/>
        <v>0</v>
      </c>
      <c r="J32" s="9">
        <f t="shared" si="9"/>
        <v>0</v>
      </c>
      <c r="K32" s="9">
        <f t="shared" si="9"/>
        <v>0</v>
      </c>
      <c r="L32" s="9">
        <f t="shared" si="9"/>
        <v>0</v>
      </c>
      <c r="M32" s="9">
        <f t="shared" si="9"/>
        <v>0</v>
      </c>
      <c r="N32" s="9">
        <f t="shared" si="9"/>
        <v>0</v>
      </c>
      <c r="O32" s="9">
        <f t="shared" si="9"/>
        <v>0</v>
      </c>
      <c r="P32" s="9">
        <f t="shared" si="9"/>
        <v>0</v>
      </c>
      <c r="Q32" s="9">
        <f t="shared" si="9"/>
        <v>0</v>
      </c>
      <c r="R32" s="9">
        <f t="shared" si="9"/>
        <v>0</v>
      </c>
      <c r="S32" s="9">
        <f t="shared" si="9"/>
        <v>0</v>
      </c>
      <c r="T32" s="9">
        <f t="shared" si="9"/>
        <v>0</v>
      </c>
      <c r="U32" s="9">
        <f t="shared" si="9"/>
        <v>5</v>
      </c>
      <c r="V32" s="9">
        <f t="shared" si="9"/>
        <v>0</v>
      </c>
      <c r="W32" s="9">
        <f t="shared" si="9"/>
        <v>0</v>
      </c>
      <c r="X32" s="9">
        <f t="shared" si="9"/>
        <v>0</v>
      </c>
      <c r="Y32" s="9">
        <f t="shared" si="9"/>
        <v>0</v>
      </c>
      <c r="Z32" s="9">
        <f t="shared" si="9"/>
        <v>0</v>
      </c>
      <c r="AA32" s="9">
        <f t="shared" si="9"/>
        <v>0</v>
      </c>
      <c r="AB32" s="9">
        <f t="shared" si="9"/>
        <v>0</v>
      </c>
      <c r="AC32" s="9">
        <f t="shared" si="9"/>
        <v>0</v>
      </c>
      <c r="AD32" s="9">
        <f t="shared" si="9"/>
        <v>0</v>
      </c>
      <c r="AE32" s="9">
        <f t="shared" si="9"/>
        <v>0</v>
      </c>
      <c r="AF32" s="9">
        <f t="shared" si="9"/>
        <v>0</v>
      </c>
      <c r="AG32" s="9">
        <f t="shared" si="9"/>
        <v>0</v>
      </c>
      <c r="AH32" s="9">
        <f t="shared" si="9"/>
        <v>0</v>
      </c>
    </row>
    <row r="33" spans="4:34" x14ac:dyDescent="0.2">
      <c r="D33" s="3" t="s">
        <v>13</v>
      </c>
      <c r="E33" s="9">
        <f t="shared" ref="E33:AH33" si="10">IF(E23&lt;=$AI$11,E11,"no")</f>
        <v>0</v>
      </c>
      <c r="F33" s="9">
        <f t="shared" si="10"/>
        <v>0</v>
      </c>
      <c r="G33" s="9">
        <f t="shared" si="10"/>
        <v>0</v>
      </c>
      <c r="H33" s="9">
        <f t="shared" si="10"/>
        <v>0</v>
      </c>
      <c r="I33" s="9">
        <f t="shared" si="10"/>
        <v>2</v>
      </c>
      <c r="J33" s="9">
        <f t="shared" si="10"/>
        <v>0</v>
      </c>
      <c r="K33" s="9">
        <f t="shared" si="10"/>
        <v>3</v>
      </c>
      <c r="L33" s="9">
        <f t="shared" si="10"/>
        <v>2</v>
      </c>
      <c r="M33" s="9">
        <f t="shared" si="10"/>
        <v>0</v>
      </c>
      <c r="N33" s="9">
        <f t="shared" si="10"/>
        <v>1</v>
      </c>
      <c r="O33" s="9">
        <f t="shared" si="10"/>
        <v>0</v>
      </c>
      <c r="P33" s="9">
        <f t="shared" si="10"/>
        <v>0</v>
      </c>
      <c r="Q33" s="9">
        <f t="shared" si="10"/>
        <v>3</v>
      </c>
      <c r="R33" s="9">
        <f t="shared" si="10"/>
        <v>0</v>
      </c>
      <c r="S33" s="9">
        <f t="shared" si="10"/>
        <v>1</v>
      </c>
      <c r="T33" s="9">
        <f t="shared" si="10"/>
        <v>0</v>
      </c>
      <c r="U33" s="9">
        <f t="shared" si="10"/>
        <v>0</v>
      </c>
      <c r="V33" s="9">
        <f t="shared" si="10"/>
        <v>0</v>
      </c>
      <c r="W33" s="9">
        <f t="shared" si="10"/>
        <v>1</v>
      </c>
      <c r="X33" s="9">
        <f t="shared" si="10"/>
        <v>0</v>
      </c>
      <c r="Y33" s="9">
        <f t="shared" si="10"/>
        <v>0</v>
      </c>
      <c r="Z33" s="9">
        <f t="shared" si="10"/>
        <v>3</v>
      </c>
      <c r="AA33" s="9">
        <f t="shared" si="10"/>
        <v>0</v>
      </c>
      <c r="AB33" s="9">
        <f t="shared" si="10"/>
        <v>0</v>
      </c>
      <c r="AC33" s="9">
        <f t="shared" si="10"/>
        <v>0</v>
      </c>
      <c r="AD33" s="9">
        <f t="shared" si="10"/>
        <v>0</v>
      </c>
      <c r="AE33" s="9">
        <f t="shared" si="10"/>
        <v>1</v>
      </c>
      <c r="AF33" s="9">
        <f t="shared" si="10"/>
        <v>0</v>
      </c>
      <c r="AG33" s="9">
        <f t="shared" si="10"/>
        <v>0</v>
      </c>
      <c r="AH33" s="9">
        <f t="shared" si="10"/>
        <v>0</v>
      </c>
    </row>
    <row r="35" spans="4:34" x14ac:dyDescent="0.2">
      <c r="D35" s="41" t="s">
        <v>44</v>
      </c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</row>
    <row r="36" spans="4:34" x14ac:dyDescent="0.2">
      <c r="D36" s="11" t="s">
        <v>1</v>
      </c>
      <c r="E36" s="10">
        <v>1</v>
      </c>
      <c r="F36" s="10">
        <v>2</v>
      </c>
      <c r="G36" s="10">
        <v>3</v>
      </c>
      <c r="H36" s="10">
        <v>4</v>
      </c>
      <c r="I36" s="10">
        <v>5</v>
      </c>
      <c r="J36" s="10">
        <v>6</v>
      </c>
      <c r="K36" s="10">
        <v>7</v>
      </c>
      <c r="L36" s="10">
        <v>8</v>
      </c>
      <c r="M36" s="10">
        <v>9</v>
      </c>
      <c r="N36" s="10">
        <v>10</v>
      </c>
      <c r="O36" s="10">
        <v>11</v>
      </c>
      <c r="P36" s="10">
        <v>12</v>
      </c>
      <c r="Q36" s="10">
        <v>13</v>
      </c>
      <c r="R36" s="10">
        <v>14</v>
      </c>
      <c r="S36" s="10">
        <v>15</v>
      </c>
      <c r="T36" s="10">
        <v>16</v>
      </c>
      <c r="U36" s="10">
        <v>17</v>
      </c>
      <c r="V36" s="10">
        <v>18</v>
      </c>
      <c r="W36" s="10">
        <v>19</v>
      </c>
      <c r="X36" s="10">
        <v>20</v>
      </c>
      <c r="Y36" s="10">
        <v>21</v>
      </c>
      <c r="Z36" s="10">
        <v>22</v>
      </c>
      <c r="AA36" s="10">
        <v>23</v>
      </c>
      <c r="AB36" s="10">
        <v>24</v>
      </c>
      <c r="AC36" s="10">
        <v>25</v>
      </c>
      <c r="AD36" s="10">
        <v>26</v>
      </c>
      <c r="AE36" s="10">
        <v>27</v>
      </c>
      <c r="AF36" s="10">
        <v>28</v>
      </c>
      <c r="AG36" s="10">
        <v>29</v>
      </c>
      <c r="AH36" s="10">
        <v>30</v>
      </c>
    </row>
    <row r="37" spans="4:34" x14ac:dyDescent="0.2">
      <c r="D37" s="3" t="s">
        <v>6</v>
      </c>
      <c r="E37" s="39">
        <f t="shared" ref="E37:AH37" si="11">IF(OR(E26=-1,E26="no"),0,E26)</f>
        <v>1</v>
      </c>
      <c r="F37" s="39">
        <f t="shared" si="11"/>
        <v>2</v>
      </c>
      <c r="G37" s="39">
        <f t="shared" si="11"/>
        <v>1</v>
      </c>
      <c r="H37" s="39">
        <f t="shared" si="11"/>
        <v>0</v>
      </c>
      <c r="I37" s="39">
        <f t="shared" si="11"/>
        <v>0</v>
      </c>
      <c r="J37" s="39">
        <f t="shared" si="11"/>
        <v>2</v>
      </c>
      <c r="K37" s="39">
        <f t="shared" si="11"/>
        <v>0</v>
      </c>
      <c r="L37" s="39">
        <f t="shared" si="11"/>
        <v>1</v>
      </c>
      <c r="M37" s="39">
        <f t="shared" si="11"/>
        <v>0</v>
      </c>
      <c r="N37" s="39">
        <f t="shared" si="11"/>
        <v>0</v>
      </c>
      <c r="O37" s="39">
        <f t="shared" si="11"/>
        <v>0</v>
      </c>
      <c r="P37" s="39">
        <f t="shared" si="11"/>
        <v>0</v>
      </c>
      <c r="Q37" s="39">
        <f t="shared" si="11"/>
        <v>3</v>
      </c>
      <c r="R37" s="39">
        <f t="shared" si="11"/>
        <v>0</v>
      </c>
      <c r="S37" s="39">
        <f t="shared" si="11"/>
        <v>0</v>
      </c>
      <c r="T37" s="39">
        <f t="shared" si="11"/>
        <v>1</v>
      </c>
      <c r="U37" s="39">
        <f t="shared" si="11"/>
        <v>0</v>
      </c>
      <c r="V37" s="39">
        <f t="shared" si="11"/>
        <v>1</v>
      </c>
      <c r="W37" s="39">
        <f t="shared" si="11"/>
        <v>0</v>
      </c>
      <c r="X37" s="39">
        <f t="shared" si="11"/>
        <v>0</v>
      </c>
      <c r="Y37" s="39">
        <f t="shared" si="11"/>
        <v>0</v>
      </c>
      <c r="Z37" s="39">
        <f t="shared" si="11"/>
        <v>1</v>
      </c>
      <c r="AA37" s="39">
        <f t="shared" si="11"/>
        <v>0</v>
      </c>
      <c r="AB37" s="39">
        <f t="shared" si="11"/>
        <v>0</v>
      </c>
      <c r="AC37" s="39">
        <f t="shared" si="11"/>
        <v>0</v>
      </c>
      <c r="AD37" s="39">
        <f t="shared" si="11"/>
        <v>0</v>
      </c>
      <c r="AE37" s="39">
        <f t="shared" si="11"/>
        <v>2</v>
      </c>
      <c r="AF37" s="39">
        <f t="shared" si="11"/>
        <v>0</v>
      </c>
      <c r="AG37" s="39">
        <f t="shared" si="11"/>
        <v>0</v>
      </c>
      <c r="AH37" s="39">
        <f t="shared" si="11"/>
        <v>0</v>
      </c>
    </row>
    <row r="38" spans="4:34" x14ac:dyDescent="0.2">
      <c r="D38" s="3" t="s">
        <v>7</v>
      </c>
      <c r="E38" s="39">
        <f t="shared" ref="E38:AH38" si="12">IF(OR(E27=-1,E27="no"),0,E27)</f>
        <v>1</v>
      </c>
      <c r="F38" s="39">
        <f t="shared" si="12"/>
        <v>0</v>
      </c>
      <c r="G38" s="39">
        <f t="shared" si="12"/>
        <v>1</v>
      </c>
      <c r="H38" s="39">
        <f t="shared" si="12"/>
        <v>0</v>
      </c>
      <c r="I38" s="39">
        <f t="shared" si="12"/>
        <v>0</v>
      </c>
      <c r="J38" s="39">
        <f t="shared" si="12"/>
        <v>0</v>
      </c>
      <c r="K38" s="39">
        <f t="shared" si="12"/>
        <v>1</v>
      </c>
      <c r="L38" s="39">
        <f t="shared" si="12"/>
        <v>1</v>
      </c>
      <c r="M38" s="39">
        <f t="shared" si="12"/>
        <v>0</v>
      </c>
      <c r="N38" s="39">
        <f t="shared" si="12"/>
        <v>0</v>
      </c>
      <c r="O38" s="39">
        <f t="shared" si="12"/>
        <v>0</v>
      </c>
      <c r="P38" s="39">
        <f t="shared" si="12"/>
        <v>2</v>
      </c>
      <c r="Q38" s="39">
        <f t="shared" si="12"/>
        <v>2</v>
      </c>
      <c r="R38" s="39">
        <f t="shared" si="12"/>
        <v>0</v>
      </c>
      <c r="S38" s="39">
        <f t="shared" si="12"/>
        <v>0</v>
      </c>
      <c r="T38" s="39">
        <f t="shared" si="12"/>
        <v>1</v>
      </c>
      <c r="U38" s="39">
        <f t="shared" si="12"/>
        <v>1</v>
      </c>
      <c r="V38" s="39">
        <f t="shared" si="12"/>
        <v>1</v>
      </c>
      <c r="W38" s="39">
        <f t="shared" si="12"/>
        <v>0</v>
      </c>
      <c r="X38" s="39">
        <f t="shared" si="12"/>
        <v>0</v>
      </c>
      <c r="Y38" s="39">
        <f t="shared" si="12"/>
        <v>1</v>
      </c>
      <c r="Z38" s="39">
        <f t="shared" si="12"/>
        <v>2</v>
      </c>
      <c r="AA38" s="39">
        <f t="shared" si="12"/>
        <v>2</v>
      </c>
      <c r="AB38" s="39">
        <f t="shared" si="12"/>
        <v>0</v>
      </c>
      <c r="AC38" s="39">
        <f t="shared" si="12"/>
        <v>0</v>
      </c>
      <c r="AD38" s="39">
        <f t="shared" si="12"/>
        <v>0</v>
      </c>
      <c r="AE38" s="39">
        <f t="shared" si="12"/>
        <v>2</v>
      </c>
      <c r="AF38" s="39">
        <f t="shared" si="12"/>
        <v>2</v>
      </c>
      <c r="AG38" s="39">
        <f t="shared" si="12"/>
        <v>0</v>
      </c>
      <c r="AH38" s="39">
        <f t="shared" si="12"/>
        <v>0</v>
      </c>
    </row>
    <row r="39" spans="4:34" x14ac:dyDescent="0.2">
      <c r="D39" s="3" t="s">
        <v>8</v>
      </c>
      <c r="E39" s="39">
        <f t="shared" ref="E39:AH39" si="13">IF(OR(E28=-1,E28="no"),0,E28)</f>
        <v>0</v>
      </c>
      <c r="F39" s="39">
        <f t="shared" si="13"/>
        <v>3</v>
      </c>
      <c r="G39" s="39">
        <f t="shared" si="13"/>
        <v>1</v>
      </c>
      <c r="H39" s="39">
        <f t="shared" si="13"/>
        <v>0</v>
      </c>
      <c r="I39" s="39">
        <f t="shared" si="13"/>
        <v>0</v>
      </c>
      <c r="J39" s="39">
        <f t="shared" si="13"/>
        <v>1</v>
      </c>
      <c r="K39" s="39">
        <f t="shared" si="13"/>
        <v>0</v>
      </c>
      <c r="L39" s="39">
        <f t="shared" si="13"/>
        <v>0</v>
      </c>
      <c r="M39" s="39">
        <f t="shared" si="13"/>
        <v>0</v>
      </c>
      <c r="N39" s="39">
        <f t="shared" si="13"/>
        <v>0</v>
      </c>
      <c r="O39" s="39">
        <f t="shared" si="13"/>
        <v>0</v>
      </c>
      <c r="P39" s="39">
        <f t="shared" si="13"/>
        <v>2</v>
      </c>
      <c r="Q39" s="39">
        <f t="shared" si="13"/>
        <v>0</v>
      </c>
      <c r="R39" s="39">
        <f t="shared" si="13"/>
        <v>0</v>
      </c>
      <c r="S39" s="39">
        <f t="shared" si="13"/>
        <v>0</v>
      </c>
      <c r="T39" s="39">
        <f t="shared" si="13"/>
        <v>0</v>
      </c>
      <c r="U39" s="39">
        <f t="shared" si="13"/>
        <v>1</v>
      </c>
      <c r="V39" s="39">
        <f t="shared" si="13"/>
        <v>0</v>
      </c>
      <c r="W39" s="39">
        <f t="shared" si="13"/>
        <v>0</v>
      </c>
      <c r="X39" s="39">
        <f t="shared" si="13"/>
        <v>0</v>
      </c>
      <c r="Y39" s="39">
        <f t="shared" si="13"/>
        <v>0</v>
      </c>
      <c r="Z39" s="39">
        <f t="shared" si="13"/>
        <v>2</v>
      </c>
      <c r="AA39" s="39">
        <f t="shared" si="13"/>
        <v>0</v>
      </c>
      <c r="AB39" s="39">
        <f t="shared" si="13"/>
        <v>0</v>
      </c>
      <c r="AC39" s="39">
        <f t="shared" si="13"/>
        <v>0</v>
      </c>
      <c r="AD39" s="39">
        <f t="shared" si="13"/>
        <v>0</v>
      </c>
      <c r="AE39" s="39">
        <f t="shared" si="13"/>
        <v>2</v>
      </c>
      <c r="AF39" s="39">
        <f t="shared" si="13"/>
        <v>0</v>
      </c>
      <c r="AG39" s="39">
        <f t="shared" si="13"/>
        <v>0</v>
      </c>
      <c r="AH39" s="39">
        <f t="shared" si="13"/>
        <v>0</v>
      </c>
    </row>
    <row r="40" spans="4:34" x14ac:dyDescent="0.2">
      <c r="D40" s="3" t="s">
        <v>9</v>
      </c>
      <c r="E40" s="39">
        <f t="shared" ref="E40:AH40" si="14">IF(OR(E29=-1,E29="no"),0,E29)</f>
        <v>2</v>
      </c>
      <c r="F40" s="39">
        <f t="shared" si="14"/>
        <v>0</v>
      </c>
      <c r="G40" s="39">
        <f t="shared" si="14"/>
        <v>1</v>
      </c>
      <c r="H40" s="39">
        <f t="shared" si="14"/>
        <v>0</v>
      </c>
      <c r="I40" s="39">
        <f t="shared" si="14"/>
        <v>0</v>
      </c>
      <c r="J40" s="39">
        <f t="shared" si="14"/>
        <v>0</v>
      </c>
      <c r="K40" s="39">
        <f t="shared" si="14"/>
        <v>1</v>
      </c>
      <c r="L40" s="39">
        <f t="shared" si="14"/>
        <v>0</v>
      </c>
      <c r="M40" s="39">
        <f t="shared" si="14"/>
        <v>0</v>
      </c>
      <c r="N40" s="39">
        <f t="shared" si="14"/>
        <v>0</v>
      </c>
      <c r="O40" s="39">
        <f t="shared" si="14"/>
        <v>0</v>
      </c>
      <c r="P40" s="39">
        <f t="shared" si="14"/>
        <v>1</v>
      </c>
      <c r="Q40" s="39">
        <f t="shared" si="14"/>
        <v>0</v>
      </c>
      <c r="R40" s="39">
        <f t="shared" si="14"/>
        <v>0</v>
      </c>
      <c r="S40" s="39">
        <f t="shared" si="14"/>
        <v>0</v>
      </c>
      <c r="T40" s="39">
        <f t="shared" si="14"/>
        <v>1</v>
      </c>
      <c r="U40" s="39">
        <f t="shared" si="14"/>
        <v>1</v>
      </c>
      <c r="V40" s="39">
        <f t="shared" si="14"/>
        <v>1</v>
      </c>
      <c r="W40" s="39">
        <f t="shared" si="14"/>
        <v>0</v>
      </c>
      <c r="X40" s="39">
        <f t="shared" si="14"/>
        <v>0</v>
      </c>
      <c r="Y40" s="39">
        <f t="shared" si="14"/>
        <v>0</v>
      </c>
      <c r="Z40" s="39">
        <f t="shared" si="14"/>
        <v>0</v>
      </c>
      <c r="AA40" s="39">
        <f t="shared" si="14"/>
        <v>1</v>
      </c>
      <c r="AB40" s="39">
        <f t="shared" si="14"/>
        <v>0</v>
      </c>
      <c r="AC40" s="39">
        <f t="shared" si="14"/>
        <v>0</v>
      </c>
      <c r="AD40" s="39">
        <f t="shared" si="14"/>
        <v>0</v>
      </c>
      <c r="AE40" s="39">
        <f t="shared" si="14"/>
        <v>0</v>
      </c>
      <c r="AF40" s="39">
        <f t="shared" si="14"/>
        <v>0</v>
      </c>
      <c r="AG40" s="39">
        <f t="shared" si="14"/>
        <v>1</v>
      </c>
      <c r="AH40" s="39">
        <f t="shared" si="14"/>
        <v>0</v>
      </c>
    </row>
    <row r="41" spans="4:34" x14ac:dyDescent="0.2">
      <c r="D41" s="3" t="s">
        <v>10</v>
      </c>
      <c r="E41" s="39">
        <f t="shared" ref="E41:AH41" si="15">IF(OR(E30=-1,E30="no"),0,E30)</f>
        <v>1</v>
      </c>
      <c r="F41" s="39">
        <f t="shared" si="15"/>
        <v>0</v>
      </c>
      <c r="G41" s="39">
        <f t="shared" si="15"/>
        <v>1</v>
      </c>
      <c r="H41" s="39">
        <f t="shared" si="15"/>
        <v>1</v>
      </c>
      <c r="I41" s="39">
        <f t="shared" si="15"/>
        <v>0</v>
      </c>
      <c r="J41" s="39">
        <f t="shared" si="15"/>
        <v>0</v>
      </c>
      <c r="K41" s="39">
        <f t="shared" si="15"/>
        <v>1</v>
      </c>
      <c r="L41" s="39">
        <f t="shared" si="15"/>
        <v>0</v>
      </c>
      <c r="M41" s="39">
        <f t="shared" si="15"/>
        <v>0</v>
      </c>
      <c r="N41" s="39">
        <f t="shared" si="15"/>
        <v>0</v>
      </c>
      <c r="O41" s="39">
        <f t="shared" si="15"/>
        <v>0</v>
      </c>
      <c r="P41" s="39">
        <f t="shared" si="15"/>
        <v>1</v>
      </c>
      <c r="Q41" s="39">
        <f t="shared" si="15"/>
        <v>0</v>
      </c>
      <c r="R41" s="39">
        <f t="shared" si="15"/>
        <v>0</v>
      </c>
      <c r="S41" s="39">
        <f t="shared" si="15"/>
        <v>0</v>
      </c>
      <c r="T41" s="39">
        <f t="shared" si="15"/>
        <v>0</v>
      </c>
      <c r="U41" s="39">
        <f t="shared" si="15"/>
        <v>1</v>
      </c>
      <c r="V41" s="39">
        <f t="shared" si="15"/>
        <v>0</v>
      </c>
      <c r="W41" s="39">
        <f t="shared" si="15"/>
        <v>0</v>
      </c>
      <c r="X41" s="39">
        <f t="shared" si="15"/>
        <v>0</v>
      </c>
      <c r="Y41" s="39">
        <f t="shared" si="15"/>
        <v>0</v>
      </c>
      <c r="Z41" s="39">
        <f t="shared" si="15"/>
        <v>0</v>
      </c>
      <c r="AA41" s="39">
        <f t="shared" si="15"/>
        <v>0</v>
      </c>
      <c r="AB41" s="39">
        <f t="shared" si="15"/>
        <v>0</v>
      </c>
      <c r="AC41" s="39">
        <f t="shared" si="15"/>
        <v>0</v>
      </c>
      <c r="AD41" s="39">
        <f t="shared" si="15"/>
        <v>0</v>
      </c>
      <c r="AE41" s="39">
        <f t="shared" si="15"/>
        <v>0</v>
      </c>
      <c r="AF41" s="39">
        <f t="shared" si="15"/>
        <v>0</v>
      </c>
      <c r="AG41" s="39">
        <f t="shared" si="15"/>
        <v>0</v>
      </c>
      <c r="AH41" s="39">
        <f t="shared" si="15"/>
        <v>0</v>
      </c>
    </row>
    <row r="42" spans="4:34" x14ac:dyDescent="0.2">
      <c r="D42" s="3" t="s">
        <v>11</v>
      </c>
      <c r="E42" s="39">
        <f t="shared" ref="E42:AH42" si="16">IF(OR(E31=-1,E31="no"),0,E31)</f>
        <v>0</v>
      </c>
      <c r="F42" s="39">
        <f t="shared" si="16"/>
        <v>1</v>
      </c>
      <c r="G42" s="39">
        <f t="shared" si="16"/>
        <v>2</v>
      </c>
      <c r="H42" s="39">
        <f t="shared" si="16"/>
        <v>0</v>
      </c>
      <c r="I42" s="39">
        <f t="shared" si="16"/>
        <v>0</v>
      </c>
      <c r="J42" s="39">
        <f t="shared" si="16"/>
        <v>0</v>
      </c>
      <c r="K42" s="39">
        <f t="shared" si="16"/>
        <v>0</v>
      </c>
      <c r="L42" s="39">
        <f t="shared" si="16"/>
        <v>2</v>
      </c>
      <c r="M42" s="39">
        <f t="shared" si="16"/>
        <v>0</v>
      </c>
      <c r="N42" s="39">
        <f t="shared" si="16"/>
        <v>0</v>
      </c>
      <c r="O42" s="39">
        <f t="shared" si="16"/>
        <v>0</v>
      </c>
      <c r="P42" s="39">
        <f t="shared" si="16"/>
        <v>0</v>
      </c>
      <c r="Q42" s="39">
        <f t="shared" si="16"/>
        <v>0</v>
      </c>
      <c r="R42" s="39">
        <f t="shared" si="16"/>
        <v>2</v>
      </c>
      <c r="S42" s="39">
        <f t="shared" si="16"/>
        <v>0</v>
      </c>
      <c r="T42" s="39">
        <f t="shared" si="16"/>
        <v>0</v>
      </c>
      <c r="U42" s="39">
        <f t="shared" si="16"/>
        <v>0</v>
      </c>
      <c r="V42" s="39">
        <f t="shared" si="16"/>
        <v>0</v>
      </c>
      <c r="W42" s="39">
        <f t="shared" si="16"/>
        <v>0</v>
      </c>
      <c r="X42" s="39">
        <f t="shared" si="16"/>
        <v>2</v>
      </c>
      <c r="Y42" s="39">
        <f t="shared" si="16"/>
        <v>0</v>
      </c>
      <c r="Z42" s="39">
        <f t="shared" si="16"/>
        <v>0</v>
      </c>
      <c r="AA42" s="39">
        <f t="shared" si="16"/>
        <v>0</v>
      </c>
      <c r="AB42" s="39">
        <f t="shared" si="16"/>
        <v>0</v>
      </c>
      <c r="AC42" s="39">
        <f t="shared" si="16"/>
        <v>2</v>
      </c>
      <c r="AD42" s="39">
        <f t="shared" si="16"/>
        <v>0</v>
      </c>
      <c r="AE42" s="39">
        <f t="shared" si="16"/>
        <v>0</v>
      </c>
      <c r="AF42" s="39">
        <f t="shared" si="16"/>
        <v>0</v>
      </c>
      <c r="AG42" s="39">
        <f t="shared" si="16"/>
        <v>0</v>
      </c>
      <c r="AH42" s="39">
        <f t="shared" si="16"/>
        <v>0</v>
      </c>
    </row>
    <row r="43" spans="4:34" x14ac:dyDescent="0.2">
      <c r="D43" s="3" t="s">
        <v>12</v>
      </c>
      <c r="E43" s="39">
        <f t="shared" ref="E43:AH43" si="17">IF(OR(E32=-1,E32="no"),0,E32)</f>
        <v>0</v>
      </c>
      <c r="F43" s="39">
        <f t="shared" si="17"/>
        <v>0</v>
      </c>
      <c r="G43" s="39">
        <f t="shared" si="17"/>
        <v>0</v>
      </c>
      <c r="H43" s="39">
        <f t="shared" si="17"/>
        <v>0</v>
      </c>
      <c r="I43" s="39">
        <f t="shared" si="17"/>
        <v>0</v>
      </c>
      <c r="J43" s="39">
        <f t="shared" si="17"/>
        <v>0</v>
      </c>
      <c r="K43" s="39">
        <f t="shared" si="17"/>
        <v>0</v>
      </c>
      <c r="L43" s="39">
        <f t="shared" si="17"/>
        <v>0</v>
      </c>
      <c r="M43" s="39">
        <f t="shared" si="17"/>
        <v>0</v>
      </c>
      <c r="N43" s="39">
        <f t="shared" si="17"/>
        <v>0</v>
      </c>
      <c r="O43" s="39">
        <f t="shared" si="17"/>
        <v>0</v>
      </c>
      <c r="P43" s="39">
        <f t="shared" si="17"/>
        <v>0</v>
      </c>
      <c r="Q43" s="39">
        <f t="shared" si="17"/>
        <v>0</v>
      </c>
      <c r="R43" s="39">
        <f t="shared" si="17"/>
        <v>0</v>
      </c>
      <c r="S43" s="39">
        <f t="shared" si="17"/>
        <v>0</v>
      </c>
      <c r="T43" s="39">
        <f t="shared" si="17"/>
        <v>0</v>
      </c>
      <c r="U43" s="39">
        <f t="shared" si="17"/>
        <v>5</v>
      </c>
      <c r="V43" s="39">
        <f t="shared" si="17"/>
        <v>0</v>
      </c>
      <c r="W43" s="39">
        <f t="shared" si="17"/>
        <v>0</v>
      </c>
      <c r="X43" s="39">
        <f t="shared" si="17"/>
        <v>0</v>
      </c>
      <c r="Y43" s="39">
        <f t="shared" si="17"/>
        <v>0</v>
      </c>
      <c r="Z43" s="39">
        <f t="shared" si="17"/>
        <v>0</v>
      </c>
      <c r="AA43" s="39">
        <f t="shared" si="17"/>
        <v>0</v>
      </c>
      <c r="AB43" s="39">
        <f t="shared" si="17"/>
        <v>0</v>
      </c>
      <c r="AC43" s="39">
        <f t="shared" si="17"/>
        <v>0</v>
      </c>
      <c r="AD43" s="39">
        <f t="shared" si="17"/>
        <v>0</v>
      </c>
      <c r="AE43" s="39">
        <f t="shared" si="17"/>
        <v>0</v>
      </c>
      <c r="AF43" s="39">
        <f t="shared" si="17"/>
        <v>0</v>
      </c>
      <c r="AG43" s="39">
        <f t="shared" si="17"/>
        <v>0</v>
      </c>
      <c r="AH43" s="39">
        <f t="shared" si="17"/>
        <v>0</v>
      </c>
    </row>
    <row r="44" spans="4:34" x14ac:dyDescent="0.2">
      <c r="D44" s="3" t="s">
        <v>13</v>
      </c>
      <c r="E44" s="39">
        <f t="shared" ref="E44:AH44" si="18">IF(OR(E33=-1,E33="no"),0,E33)</f>
        <v>0</v>
      </c>
      <c r="F44" s="39">
        <f t="shared" si="18"/>
        <v>0</v>
      </c>
      <c r="G44" s="39">
        <f t="shared" si="18"/>
        <v>0</v>
      </c>
      <c r="H44" s="39">
        <f t="shared" si="18"/>
        <v>0</v>
      </c>
      <c r="I44" s="39">
        <f t="shared" si="18"/>
        <v>2</v>
      </c>
      <c r="J44" s="39">
        <f t="shared" si="18"/>
        <v>0</v>
      </c>
      <c r="K44" s="39">
        <f t="shared" si="18"/>
        <v>3</v>
      </c>
      <c r="L44" s="39">
        <f t="shared" si="18"/>
        <v>2</v>
      </c>
      <c r="M44" s="39">
        <f t="shared" si="18"/>
        <v>0</v>
      </c>
      <c r="N44" s="39">
        <f t="shared" si="18"/>
        <v>1</v>
      </c>
      <c r="O44" s="39">
        <f t="shared" si="18"/>
        <v>0</v>
      </c>
      <c r="P44" s="39">
        <f t="shared" si="18"/>
        <v>0</v>
      </c>
      <c r="Q44" s="39">
        <f t="shared" si="18"/>
        <v>3</v>
      </c>
      <c r="R44" s="39">
        <f t="shared" si="18"/>
        <v>0</v>
      </c>
      <c r="S44" s="39">
        <f t="shared" si="18"/>
        <v>1</v>
      </c>
      <c r="T44" s="39">
        <f t="shared" si="18"/>
        <v>0</v>
      </c>
      <c r="U44" s="39">
        <f t="shared" si="18"/>
        <v>0</v>
      </c>
      <c r="V44" s="39">
        <f t="shared" si="18"/>
        <v>0</v>
      </c>
      <c r="W44" s="39">
        <f t="shared" si="18"/>
        <v>1</v>
      </c>
      <c r="X44" s="39">
        <f t="shared" si="18"/>
        <v>0</v>
      </c>
      <c r="Y44" s="39">
        <f t="shared" si="18"/>
        <v>0</v>
      </c>
      <c r="Z44" s="39">
        <f t="shared" si="18"/>
        <v>3</v>
      </c>
      <c r="AA44" s="39">
        <f t="shared" si="18"/>
        <v>0</v>
      </c>
      <c r="AB44" s="39">
        <f t="shared" si="18"/>
        <v>0</v>
      </c>
      <c r="AC44" s="39">
        <f t="shared" si="18"/>
        <v>0</v>
      </c>
      <c r="AD44" s="39">
        <f t="shared" si="18"/>
        <v>0</v>
      </c>
      <c r="AE44" s="39">
        <f t="shared" si="18"/>
        <v>1</v>
      </c>
      <c r="AF44" s="39">
        <f t="shared" si="18"/>
        <v>0</v>
      </c>
      <c r="AG44" s="39">
        <f t="shared" si="18"/>
        <v>0</v>
      </c>
      <c r="AH44" s="39">
        <f t="shared" si="18"/>
        <v>0</v>
      </c>
    </row>
  </sheetData>
  <mergeCells count="5">
    <mergeCell ref="D24:AH24"/>
    <mergeCell ref="D35:AH35"/>
    <mergeCell ref="A1:B1"/>
    <mergeCell ref="E2:AH2"/>
    <mergeCell ref="E12:AH12"/>
  </mergeCells>
  <conditionalFormatting sqref="E14:AH14">
    <cfRule type="colorScale" priority="6">
      <colorScale>
        <cfvo type="min"/>
        <cfvo type="max"/>
        <color theme="0"/>
        <color theme="7"/>
      </colorScale>
    </cfRule>
    <cfRule type="colorScale" priority="7">
      <colorScale>
        <cfvo type="min"/>
        <cfvo type="max"/>
        <color rgb="FF63BE7B"/>
        <color rgb="FFFFEF9C"/>
      </colorScale>
    </cfRule>
  </conditionalFormatting>
  <conditionalFormatting sqref="AJ15 AU15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6:AH33">
    <cfRule type="containsText" dxfId="9" priority="1" operator="containsText" text="no">
      <formula>NOT(ISERROR(SEARCH("no",E26)))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68274-EC4B-46BD-8035-809892600DC8}">
  <sheetPr codeName="Sheet2"/>
  <dimension ref="A1:BR220"/>
  <sheetViews>
    <sheetView zoomScale="69" zoomScaleNormal="80" workbookViewId="0">
      <selection activeCell="I28" sqref="I28"/>
    </sheetView>
  </sheetViews>
  <sheetFormatPr baseColWidth="10" defaultColWidth="11" defaultRowHeight="16" x14ac:dyDescent="0.2"/>
  <cols>
    <col min="1" max="1" width="12" customWidth="1"/>
    <col min="3" max="3" width="12.6640625" customWidth="1"/>
    <col min="4" max="4" width="4.6640625" customWidth="1"/>
    <col min="5" max="5" width="8.6640625" bestFit="1" customWidth="1"/>
    <col min="6" max="6" width="9.6640625" bestFit="1" customWidth="1"/>
    <col min="7" max="36" width="4.6640625" customWidth="1"/>
    <col min="37" max="37" width="13.1640625" customWidth="1"/>
    <col min="39" max="39" width="9.6640625" customWidth="1"/>
    <col min="40" max="40" width="5.1640625" customWidth="1"/>
    <col min="41" max="41" width="4" customWidth="1"/>
    <col min="42" max="42" width="3.1640625" customWidth="1"/>
    <col min="43" max="47" width="2.6640625" customWidth="1"/>
    <col min="48" max="69" width="3.1640625" customWidth="1"/>
    <col min="70" max="70" width="15.5" customWidth="1"/>
    <col min="71" max="71" width="3.1640625" customWidth="1"/>
    <col min="72" max="72" width="3.6640625" customWidth="1"/>
    <col min="73" max="73" width="3.1640625" customWidth="1"/>
    <col min="74" max="98" width="3.6640625" customWidth="1"/>
    <col min="99" max="100" width="2.83203125" bestFit="1" customWidth="1"/>
    <col min="102" max="102" width="10.6640625" customWidth="1"/>
    <col min="103" max="103" width="14.6640625" customWidth="1"/>
  </cols>
  <sheetData>
    <row r="1" spans="1:70" x14ac:dyDescent="0.2">
      <c r="G1" s="5">
        <f t="shared" ref="G1:AJ1" si="0">G2/$AM$2</f>
        <v>0.2</v>
      </c>
      <c r="H1" s="5">
        <f t="shared" si="0"/>
        <v>0.4</v>
      </c>
      <c r="I1" s="5">
        <f t="shared" si="0"/>
        <v>0.6</v>
      </c>
      <c r="J1" s="5">
        <f t="shared" si="0"/>
        <v>0.8</v>
      </c>
      <c r="K1" s="5">
        <f t="shared" si="0"/>
        <v>1</v>
      </c>
      <c r="L1" s="5">
        <f t="shared" si="0"/>
        <v>1.2</v>
      </c>
      <c r="M1" s="5">
        <f t="shared" si="0"/>
        <v>1.4</v>
      </c>
      <c r="N1" s="5">
        <f t="shared" si="0"/>
        <v>1.6</v>
      </c>
      <c r="O1" s="5">
        <f t="shared" si="0"/>
        <v>1.8</v>
      </c>
      <c r="P1" s="5">
        <f t="shared" si="0"/>
        <v>2</v>
      </c>
      <c r="Q1" s="5">
        <f t="shared" si="0"/>
        <v>2.2000000000000002</v>
      </c>
      <c r="R1" s="5">
        <f t="shared" si="0"/>
        <v>2.4</v>
      </c>
      <c r="S1" s="5">
        <f t="shared" si="0"/>
        <v>2.6</v>
      </c>
      <c r="T1" s="5">
        <f t="shared" si="0"/>
        <v>2.8</v>
      </c>
      <c r="U1" s="5">
        <f t="shared" si="0"/>
        <v>3</v>
      </c>
      <c r="V1" s="5">
        <f t="shared" si="0"/>
        <v>3.2</v>
      </c>
      <c r="W1" s="5">
        <f t="shared" si="0"/>
        <v>3.4</v>
      </c>
      <c r="X1" s="5">
        <f t="shared" si="0"/>
        <v>3.6</v>
      </c>
      <c r="Y1" s="5">
        <f t="shared" si="0"/>
        <v>3.8</v>
      </c>
      <c r="Z1" s="5">
        <f t="shared" si="0"/>
        <v>4</v>
      </c>
      <c r="AA1" s="5">
        <f t="shared" si="0"/>
        <v>4.2</v>
      </c>
      <c r="AB1" s="5">
        <f t="shared" si="0"/>
        <v>4.4000000000000004</v>
      </c>
      <c r="AC1" s="5">
        <f t="shared" si="0"/>
        <v>4.5999999999999996</v>
      </c>
      <c r="AD1" s="5">
        <f t="shared" si="0"/>
        <v>4.8</v>
      </c>
      <c r="AE1" s="5">
        <f t="shared" si="0"/>
        <v>5</v>
      </c>
      <c r="AF1" s="5">
        <f t="shared" si="0"/>
        <v>5.2</v>
      </c>
      <c r="AG1" s="5">
        <f t="shared" si="0"/>
        <v>5.4</v>
      </c>
      <c r="AH1" s="5">
        <f t="shared" si="0"/>
        <v>5.6</v>
      </c>
      <c r="AI1" s="5">
        <f t="shared" si="0"/>
        <v>5.8</v>
      </c>
      <c r="AJ1" s="5">
        <f t="shared" si="0"/>
        <v>6</v>
      </c>
    </row>
    <row r="2" spans="1:70" ht="17" thickBot="1" x14ac:dyDescent="0.25">
      <c r="A2" s="20" t="s">
        <v>27</v>
      </c>
      <c r="E2" s="11" t="s">
        <v>0</v>
      </c>
      <c r="F2" s="11" t="s">
        <v>1</v>
      </c>
      <c r="G2" s="10">
        <v>1</v>
      </c>
      <c r="H2" s="10">
        <v>2</v>
      </c>
      <c r="I2" s="10">
        <v>3</v>
      </c>
      <c r="J2" s="10">
        <v>4</v>
      </c>
      <c r="K2" s="10">
        <v>5</v>
      </c>
      <c r="L2" s="10">
        <v>6</v>
      </c>
      <c r="M2" s="10">
        <v>7</v>
      </c>
      <c r="N2" s="10">
        <v>8</v>
      </c>
      <c r="O2" s="10">
        <v>9</v>
      </c>
      <c r="P2" s="10">
        <v>10</v>
      </c>
      <c r="Q2" s="10">
        <v>11</v>
      </c>
      <c r="R2" s="10">
        <v>12</v>
      </c>
      <c r="S2" s="10">
        <v>13</v>
      </c>
      <c r="T2" s="10">
        <v>14</v>
      </c>
      <c r="U2" s="10">
        <v>15</v>
      </c>
      <c r="V2" s="10">
        <v>16</v>
      </c>
      <c r="W2" s="10">
        <v>17</v>
      </c>
      <c r="X2" s="10">
        <v>18</v>
      </c>
      <c r="Y2" s="10">
        <v>19</v>
      </c>
      <c r="Z2" s="10">
        <v>20</v>
      </c>
      <c r="AA2" s="10">
        <v>21</v>
      </c>
      <c r="AB2" s="10">
        <v>22</v>
      </c>
      <c r="AC2" s="10">
        <v>23</v>
      </c>
      <c r="AD2" s="10">
        <v>24</v>
      </c>
      <c r="AE2" s="10">
        <v>25</v>
      </c>
      <c r="AF2" s="10">
        <v>26</v>
      </c>
      <c r="AG2" s="10">
        <v>27</v>
      </c>
      <c r="AH2" s="10">
        <v>28</v>
      </c>
      <c r="AI2" s="10">
        <v>29</v>
      </c>
      <c r="AJ2" s="10">
        <v>30</v>
      </c>
      <c r="AL2" t="s">
        <v>2</v>
      </c>
      <c r="AM2" s="7">
        <f>'Inputs and Outputs'!B2</f>
        <v>5</v>
      </c>
      <c r="AP2" s="2"/>
    </row>
    <row r="3" spans="1:70" x14ac:dyDescent="0.2">
      <c r="A3" t="s">
        <v>28</v>
      </c>
      <c r="B3" s="22"/>
      <c r="E3" s="21">
        <v>3</v>
      </c>
      <c r="F3" s="3" t="s">
        <v>6</v>
      </c>
      <c r="G3" s="9">
        <f>'Inputs and Outputs'!E4</f>
        <v>1</v>
      </c>
      <c r="H3" s="9">
        <f>'Inputs and Outputs'!F4</f>
        <v>2</v>
      </c>
      <c r="I3" s="9">
        <f>'Inputs and Outputs'!G4</f>
        <v>1</v>
      </c>
      <c r="J3" s="9">
        <f>'Inputs and Outputs'!H4</f>
        <v>0</v>
      </c>
      <c r="K3" s="9">
        <f>'Inputs and Outputs'!I4</f>
        <v>0</v>
      </c>
      <c r="L3" s="9">
        <f>'Inputs and Outputs'!J4</f>
        <v>2</v>
      </c>
      <c r="M3" s="9">
        <f>'Inputs and Outputs'!K4</f>
        <v>0</v>
      </c>
      <c r="N3" s="9">
        <f>'Inputs and Outputs'!L4</f>
        <v>1</v>
      </c>
      <c r="O3" s="9">
        <f>'Inputs and Outputs'!M4</f>
        <v>0</v>
      </c>
      <c r="P3" s="9">
        <f>'Inputs and Outputs'!N4</f>
        <v>0</v>
      </c>
      <c r="Q3" s="9">
        <f>'Inputs and Outputs'!O4</f>
        <v>0</v>
      </c>
      <c r="R3" s="9">
        <f>'Inputs and Outputs'!P4</f>
        <v>0</v>
      </c>
      <c r="S3" s="9">
        <f>'Inputs and Outputs'!Q4</f>
        <v>3</v>
      </c>
      <c r="T3" s="9">
        <f>'Inputs and Outputs'!R4</f>
        <v>0</v>
      </c>
      <c r="U3" s="9">
        <f>'Inputs and Outputs'!S4</f>
        <v>0</v>
      </c>
      <c r="V3" s="9">
        <f>'Inputs and Outputs'!T4</f>
        <v>1</v>
      </c>
      <c r="W3" s="9">
        <f>'Inputs and Outputs'!U4</f>
        <v>0</v>
      </c>
      <c r="X3" s="9">
        <f>'Inputs and Outputs'!V4</f>
        <v>1</v>
      </c>
      <c r="Y3" s="9">
        <f>'Inputs and Outputs'!W4</f>
        <v>0</v>
      </c>
      <c r="Z3" s="9">
        <f>'Inputs and Outputs'!X4</f>
        <v>0</v>
      </c>
      <c r="AA3" s="9">
        <f>'Inputs and Outputs'!Y4</f>
        <v>0</v>
      </c>
      <c r="AB3" s="9">
        <f>'Inputs and Outputs'!Z4</f>
        <v>1</v>
      </c>
      <c r="AC3" s="9">
        <f>'Inputs and Outputs'!AA4</f>
        <v>0</v>
      </c>
      <c r="AD3" s="9">
        <f>'Inputs and Outputs'!AB4</f>
        <v>0</v>
      </c>
      <c r="AE3" s="9">
        <f>'Inputs and Outputs'!AC4</f>
        <v>0</v>
      </c>
      <c r="AF3" s="9">
        <f>'Inputs and Outputs'!AD4</f>
        <v>0</v>
      </c>
      <c r="AG3" s="9">
        <f>'Inputs and Outputs'!AE4</f>
        <v>2</v>
      </c>
      <c r="AH3" s="9">
        <f>'Inputs and Outputs'!AF4</f>
        <v>0</v>
      </c>
      <c r="AI3" s="9">
        <f>'Inputs and Outputs'!AG4</f>
        <v>0</v>
      </c>
      <c r="AJ3" s="9">
        <f>'Inputs and Outputs'!AH4</f>
        <v>0</v>
      </c>
      <c r="BR3" s="3"/>
    </row>
    <row r="4" spans="1:70" x14ac:dyDescent="0.2">
      <c r="A4" t="s">
        <v>29</v>
      </c>
      <c r="B4" s="4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</row>
    <row r="5" spans="1:70" x14ac:dyDescent="0.2">
      <c r="A5" t="s">
        <v>30</v>
      </c>
      <c r="B5" s="23"/>
      <c r="G5" s="10">
        <v>1</v>
      </c>
      <c r="H5" s="10">
        <v>2</v>
      </c>
      <c r="I5" s="10">
        <v>3</v>
      </c>
      <c r="J5" s="10">
        <v>4</v>
      </c>
      <c r="K5" s="10">
        <v>5</v>
      </c>
      <c r="L5" s="10">
        <v>6</v>
      </c>
      <c r="M5" s="10">
        <v>7</v>
      </c>
      <c r="N5" s="10">
        <v>8</v>
      </c>
      <c r="O5" s="10">
        <v>9</v>
      </c>
      <c r="P5" s="10">
        <v>10</v>
      </c>
      <c r="Q5" s="10">
        <v>11</v>
      </c>
      <c r="R5" s="10">
        <v>12</v>
      </c>
      <c r="S5" s="10">
        <v>13</v>
      </c>
      <c r="T5" s="10">
        <v>14</v>
      </c>
      <c r="U5" s="10">
        <v>15</v>
      </c>
      <c r="V5" s="10">
        <v>16</v>
      </c>
      <c r="W5" s="10">
        <v>17</v>
      </c>
      <c r="X5" s="10">
        <v>18</v>
      </c>
      <c r="Y5" s="10">
        <v>19</v>
      </c>
      <c r="Z5" s="10">
        <v>20</v>
      </c>
      <c r="AA5" s="10">
        <v>21</v>
      </c>
      <c r="AB5" s="10">
        <v>22</v>
      </c>
      <c r="AC5" s="10">
        <v>23</v>
      </c>
      <c r="AD5" s="10">
        <v>24</v>
      </c>
      <c r="AE5" s="10">
        <v>25</v>
      </c>
      <c r="AF5" s="10">
        <v>26</v>
      </c>
      <c r="AG5" s="10">
        <v>27</v>
      </c>
      <c r="AH5" s="10">
        <v>28</v>
      </c>
      <c r="AI5" s="10">
        <v>29</v>
      </c>
      <c r="AJ5" s="10">
        <v>30</v>
      </c>
      <c r="AK5" t="s">
        <v>21</v>
      </c>
    </row>
    <row r="6" spans="1:70" x14ac:dyDescent="0.2">
      <c r="F6" s="12" t="s">
        <v>14</v>
      </c>
      <c r="G6" s="13">
        <f>IF(AM2&gt;=1,1,0)</f>
        <v>1</v>
      </c>
      <c r="H6" s="13">
        <f>IF(OR(G1=1,G1=2,G1=3,G1=4,G1=5,G1=6,G1=7,G1=8,G1=9,G1=10,G1=11,G1=12,G1=13,G1=14),1,0)</f>
        <v>0</v>
      </c>
      <c r="I6" s="13">
        <f t="shared" ref="I6:AJ6" si="1">IF(OR(H1=1,H1=2,H1=3,H1=4,H1=5,H1=6,H1=7,H1=8,H1=9,H1=10,H1=11,H1=12,H1=13,H1=14),1,0)</f>
        <v>0</v>
      </c>
      <c r="J6" s="13">
        <f t="shared" si="1"/>
        <v>0</v>
      </c>
      <c r="K6" s="13">
        <f t="shared" si="1"/>
        <v>0</v>
      </c>
      <c r="L6" s="13">
        <f t="shared" si="1"/>
        <v>1</v>
      </c>
      <c r="M6" s="13">
        <f t="shared" si="1"/>
        <v>0</v>
      </c>
      <c r="N6" s="13">
        <f t="shared" si="1"/>
        <v>0</v>
      </c>
      <c r="O6" s="13">
        <f t="shared" si="1"/>
        <v>0</v>
      </c>
      <c r="P6" s="13">
        <f t="shared" si="1"/>
        <v>0</v>
      </c>
      <c r="Q6" s="13">
        <f t="shared" si="1"/>
        <v>1</v>
      </c>
      <c r="R6" s="13">
        <f t="shared" si="1"/>
        <v>0</v>
      </c>
      <c r="S6" s="13">
        <f t="shared" si="1"/>
        <v>0</v>
      </c>
      <c r="T6" s="13">
        <f t="shared" si="1"/>
        <v>0</v>
      </c>
      <c r="U6" s="13">
        <f t="shared" si="1"/>
        <v>0</v>
      </c>
      <c r="V6" s="13">
        <f t="shared" si="1"/>
        <v>1</v>
      </c>
      <c r="W6" s="13">
        <f t="shared" si="1"/>
        <v>0</v>
      </c>
      <c r="X6" s="13">
        <f t="shared" si="1"/>
        <v>0</v>
      </c>
      <c r="Y6" s="13">
        <f t="shared" si="1"/>
        <v>0</v>
      </c>
      <c r="Z6" s="13">
        <f t="shared" si="1"/>
        <v>0</v>
      </c>
      <c r="AA6" s="13">
        <f t="shared" si="1"/>
        <v>1</v>
      </c>
      <c r="AB6" s="13">
        <f t="shared" si="1"/>
        <v>0</v>
      </c>
      <c r="AC6" s="13">
        <f t="shared" si="1"/>
        <v>0</v>
      </c>
      <c r="AD6" s="13">
        <f t="shared" si="1"/>
        <v>0</v>
      </c>
      <c r="AE6" s="13">
        <f t="shared" si="1"/>
        <v>0</v>
      </c>
      <c r="AF6" s="13">
        <f t="shared" si="1"/>
        <v>1</v>
      </c>
      <c r="AG6" s="13">
        <f t="shared" si="1"/>
        <v>0</v>
      </c>
      <c r="AH6" s="13">
        <f t="shared" si="1"/>
        <v>0</v>
      </c>
      <c r="AI6" s="13">
        <f t="shared" si="1"/>
        <v>0</v>
      </c>
      <c r="AJ6" s="13">
        <f t="shared" si="1"/>
        <v>0</v>
      </c>
      <c r="AL6" s="1">
        <f>SUM(G28:AH28)</f>
        <v>1</v>
      </c>
      <c r="AN6">
        <v>0</v>
      </c>
      <c r="AO6" s="18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</row>
    <row r="7" spans="1:70" x14ac:dyDescent="0.2">
      <c r="E7" t="s">
        <v>15</v>
      </c>
      <c r="F7" s="3" t="s">
        <v>6</v>
      </c>
      <c r="G7" s="4">
        <v>4</v>
      </c>
      <c r="H7" s="4">
        <v>0</v>
      </c>
      <c r="I7" s="4">
        <v>0</v>
      </c>
      <c r="J7" s="4">
        <v>0</v>
      </c>
      <c r="K7" s="4">
        <v>0</v>
      </c>
      <c r="L7" s="4">
        <v>3</v>
      </c>
      <c r="M7" s="4">
        <v>0</v>
      </c>
      <c r="N7" s="4">
        <v>0</v>
      </c>
      <c r="O7" s="4">
        <v>0</v>
      </c>
      <c r="P7" s="4">
        <v>0</v>
      </c>
      <c r="Q7" s="4">
        <v>3</v>
      </c>
      <c r="R7" s="4">
        <v>0</v>
      </c>
      <c r="S7" s="4">
        <v>0</v>
      </c>
      <c r="T7" s="4">
        <v>0</v>
      </c>
      <c r="U7" s="4">
        <v>0</v>
      </c>
      <c r="V7" s="4">
        <v>2</v>
      </c>
      <c r="W7" s="4">
        <v>0</v>
      </c>
      <c r="X7" s="4">
        <v>0</v>
      </c>
      <c r="Y7" s="4">
        <v>0</v>
      </c>
      <c r="Z7" s="4">
        <v>0</v>
      </c>
      <c r="AA7" s="4">
        <v>1</v>
      </c>
      <c r="AB7" s="4">
        <v>0</v>
      </c>
      <c r="AC7" s="4">
        <v>0</v>
      </c>
      <c r="AD7" s="4">
        <v>0</v>
      </c>
      <c r="AE7" s="4">
        <v>0</v>
      </c>
      <c r="AF7" s="4">
        <v>2</v>
      </c>
      <c r="AG7" s="4">
        <v>0</v>
      </c>
      <c r="AH7" s="4">
        <v>0</v>
      </c>
      <c r="AI7" s="4">
        <v>0</v>
      </c>
      <c r="AJ7" s="4">
        <v>0</v>
      </c>
      <c r="AK7">
        <f>SUMPRODUCT($G$6:$AJ$6,G7:AJ7)</f>
        <v>15</v>
      </c>
      <c r="AL7" s="6" t="s">
        <v>16</v>
      </c>
      <c r="AM7">
        <f>SUM(G3:AJ3)</f>
        <v>15</v>
      </c>
    </row>
    <row r="8" spans="1:70" x14ac:dyDescent="0.2">
      <c r="A8" s="27"/>
      <c r="C8" t="s">
        <v>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</row>
    <row r="9" spans="1:70" x14ac:dyDescent="0.2">
      <c r="A9" s="16"/>
      <c r="B9" s="17"/>
      <c r="C9" s="18">
        <v>1</v>
      </c>
    </row>
    <row r="10" spans="1:70" x14ac:dyDescent="0.2">
      <c r="A10" s="16"/>
      <c r="B10" s="17"/>
      <c r="C10" s="18">
        <v>2</v>
      </c>
      <c r="F10" s="2" t="s">
        <v>20</v>
      </c>
      <c r="G10" s="2">
        <v>1</v>
      </c>
      <c r="H10" s="2">
        <v>2</v>
      </c>
      <c r="I10" s="2">
        <v>3</v>
      </c>
      <c r="J10" s="2">
        <v>4</v>
      </c>
      <c r="K10" s="2">
        <v>5</v>
      </c>
      <c r="L10" s="2">
        <v>6</v>
      </c>
      <c r="M10" s="2">
        <v>7</v>
      </c>
      <c r="N10" s="2">
        <v>8</v>
      </c>
      <c r="O10" s="2">
        <v>9</v>
      </c>
      <c r="P10" s="2">
        <v>10</v>
      </c>
      <c r="Q10" s="2">
        <v>11</v>
      </c>
      <c r="R10" s="2">
        <v>12</v>
      </c>
      <c r="S10" s="2">
        <v>13</v>
      </c>
      <c r="T10" s="2">
        <v>14</v>
      </c>
      <c r="U10" s="2">
        <v>15</v>
      </c>
      <c r="V10" s="2">
        <v>16</v>
      </c>
      <c r="W10" s="2">
        <v>17</v>
      </c>
      <c r="X10" s="2">
        <v>18</v>
      </c>
      <c r="Y10" s="2">
        <v>19</v>
      </c>
      <c r="Z10" s="2">
        <v>20</v>
      </c>
      <c r="AA10" s="2">
        <v>21</v>
      </c>
      <c r="AB10" s="2">
        <v>22</v>
      </c>
      <c r="AC10" s="2">
        <v>23</v>
      </c>
      <c r="AD10" s="2">
        <v>24</v>
      </c>
      <c r="AE10" s="2">
        <v>25</v>
      </c>
      <c r="AF10" s="2">
        <v>26</v>
      </c>
      <c r="AG10" s="2">
        <v>27</v>
      </c>
      <c r="AH10" s="2">
        <v>28</v>
      </c>
      <c r="AI10" s="2">
        <v>29</v>
      </c>
      <c r="AJ10" s="2">
        <v>30</v>
      </c>
    </row>
    <row r="11" spans="1:70" x14ac:dyDescent="0.2">
      <c r="A11" s="16"/>
      <c r="B11" s="17"/>
      <c r="C11" s="18">
        <v>1</v>
      </c>
      <c r="F11" s="3" t="s">
        <v>6</v>
      </c>
      <c r="G11">
        <v>0</v>
      </c>
      <c r="H11">
        <f t="shared" ref="H11:AJ11" si="2">IF(H15=0,0,IF(H19&gt;G19,G19-H3,IF(G11&gt;0,G11-1,0)))</f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-2</v>
      </c>
      <c r="M11">
        <f t="shared" si="2"/>
        <v>0</v>
      </c>
      <c r="N11">
        <f t="shared" si="2"/>
        <v>0</v>
      </c>
      <c r="O11">
        <f t="shared" si="2"/>
        <v>0</v>
      </c>
      <c r="P11">
        <f t="shared" si="2"/>
        <v>0</v>
      </c>
      <c r="Q11">
        <f t="shared" si="2"/>
        <v>0</v>
      </c>
      <c r="R11">
        <f t="shared" si="2"/>
        <v>0</v>
      </c>
      <c r="S11">
        <f t="shared" si="2"/>
        <v>0</v>
      </c>
      <c r="T11">
        <f t="shared" si="2"/>
        <v>0</v>
      </c>
      <c r="U11">
        <f t="shared" si="2"/>
        <v>0</v>
      </c>
      <c r="V11">
        <f t="shared" si="2"/>
        <v>-1</v>
      </c>
      <c r="W11">
        <f t="shared" si="2"/>
        <v>0</v>
      </c>
      <c r="X11">
        <f t="shared" si="2"/>
        <v>0</v>
      </c>
      <c r="Y11">
        <f t="shared" si="2"/>
        <v>0</v>
      </c>
      <c r="Z11">
        <f t="shared" si="2"/>
        <v>0</v>
      </c>
      <c r="AA11">
        <f t="shared" si="2"/>
        <v>0</v>
      </c>
      <c r="AB11">
        <f t="shared" si="2"/>
        <v>0</v>
      </c>
      <c r="AC11">
        <f t="shared" si="2"/>
        <v>0</v>
      </c>
      <c r="AD11">
        <f t="shared" si="2"/>
        <v>0</v>
      </c>
      <c r="AE11">
        <f t="shared" si="2"/>
        <v>0</v>
      </c>
      <c r="AF11">
        <f t="shared" si="2"/>
        <v>0</v>
      </c>
      <c r="AG11">
        <f t="shared" si="2"/>
        <v>0</v>
      </c>
      <c r="AH11">
        <f t="shared" si="2"/>
        <v>0</v>
      </c>
      <c r="AI11">
        <f t="shared" si="2"/>
        <v>0</v>
      </c>
      <c r="AJ11">
        <f t="shared" si="2"/>
        <v>0</v>
      </c>
    </row>
    <row r="12" spans="1:70" x14ac:dyDescent="0.2">
      <c r="A12" s="16"/>
      <c r="B12" s="17"/>
      <c r="C12" s="18">
        <v>6</v>
      </c>
      <c r="G12" s="14">
        <v>1</v>
      </c>
      <c r="H12" s="14">
        <v>2</v>
      </c>
      <c r="I12" s="14">
        <v>3</v>
      </c>
      <c r="J12" s="14">
        <v>4</v>
      </c>
      <c r="K12" s="14">
        <v>5</v>
      </c>
      <c r="L12" s="14">
        <v>6</v>
      </c>
      <c r="M12" s="14">
        <v>7</v>
      </c>
      <c r="N12" s="14">
        <v>8</v>
      </c>
      <c r="O12" s="14">
        <v>9</v>
      </c>
      <c r="P12" s="14">
        <v>10</v>
      </c>
      <c r="Q12" s="14">
        <v>11</v>
      </c>
      <c r="R12" s="14">
        <v>12</v>
      </c>
      <c r="S12" s="14">
        <v>13</v>
      </c>
      <c r="T12" s="14">
        <v>14</v>
      </c>
      <c r="U12" s="14">
        <v>15</v>
      </c>
      <c r="V12" s="14">
        <v>16</v>
      </c>
      <c r="W12" s="14">
        <v>17</v>
      </c>
      <c r="X12" s="14">
        <v>18</v>
      </c>
      <c r="Y12" s="14">
        <v>19</v>
      </c>
      <c r="Z12" s="14">
        <v>20</v>
      </c>
      <c r="AA12" s="14">
        <v>21</v>
      </c>
      <c r="AB12" s="14">
        <v>22</v>
      </c>
      <c r="AC12" s="14">
        <v>23</v>
      </c>
      <c r="AD12" s="14">
        <v>24</v>
      </c>
      <c r="AE12" s="14">
        <v>25</v>
      </c>
      <c r="AF12" s="14">
        <v>26</v>
      </c>
      <c r="AG12" s="14">
        <v>27</v>
      </c>
      <c r="AH12" s="14">
        <v>28</v>
      </c>
      <c r="AI12" s="14">
        <v>29</v>
      </c>
      <c r="AJ12" s="14">
        <v>30</v>
      </c>
    </row>
    <row r="13" spans="1:70" x14ac:dyDescent="0.2">
      <c r="A13" s="16"/>
      <c r="B13" s="17"/>
      <c r="C13" s="18">
        <v>5</v>
      </c>
      <c r="H13">
        <f t="shared" ref="H13:AJ13" ca="1" si="3">IF(H6=1,SUM(OFFSET(H3,0,0,1,$AM$2)),0)</f>
        <v>0</v>
      </c>
      <c r="I13">
        <f t="shared" ca="1" si="3"/>
        <v>0</v>
      </c>
      <c r="J13">
        <f t="shared" ca="1" si="3"/>
        <v>0</v>
      </c>
      <c r="K13">
        <f t="shared" ca="1" si="3"/>
        <v>0</v>
      </c>
      <c r="L13">
        <f t="shared" ca="1" si="3"/>
        <v>3</v>
      </c>
      <c r="M13">
        <f t="shared" ca="1" si="3"/>
        <v>0</v>
      </c>
      <c r="N13">
        <f t="shared" ca="1" si="3"/>
        <v>0</v>
      </c>
      <c r="O13">
        <f t="shared" ca="1" si="3"/>
        <v>0</v>
      </c>
      <c r="P13">
        <f t="shared" ca="1" si="3"/>
        <v>0</v>
      </c>
      <c r="Q13">
        <f t="shared" ca="1" si="3"/>
        <v>3</v>
      </c>
      <c r="R13">
        <f t="shared" ca="1" si="3"/>
        <v>0</v>
      </c>
      <c r="S13">
        <f t="shared" ca="1" si="3"/>
        <v>0</v>
      </c>
      <c r="T13">
        <f t="shared" ca="1" si="3"/>
        <v>0</v>
      </c>
      <c r="U13">
        <f t="shared" ca="1" si="3"/>
        <v>0</v>
      </c>
      <c r="V13">
        <f t="shared" ca="1" si="3"/>
        <v>2</v>
      </c>
      <c r="W13">
        <f t="shared" ca="1" si="3"/>
        <v>0</v>
      </c>
      <c r="X13">
        <f t="shared" ca="1" si="3"/>
        <v>0</v>
      </c>
      <c r="Y13">
        <f t="shared" ca="1" si="3"/>
        <v>0</v>
      </c>
      <c r="Z13">
        <f t="shared" ca="1" si="3"/>
        <v>0</v>
      </c>
      <c r="AA13">
        <f t="shared" ca="1" si="3"/>
        <v>1</v>
      </c>
      <c r="AB13">
        <f t="shared" ca="1" si="3"/>
        <v>0</v>
      </c>
      <c r="AC13">
        <f t="shared" ca="1" si="3"/>
        <v>0</v>
      </c>
      <c r="AD13">
        <f t="shared" ca="1" si="3"/>
        <v>0</v>
      </c>
      <c r="AE13">
        <f t="shared" ca="1" si="3"/>
        <v>0</v>
      </c>
      <c r="AF13">
        <f t="shared" ca="1" si="3"/>
        <v>2</v>
      </c>
      <c r="AG13">
        <f t="shared" ca="1" si="3"/>
        <v>0</v>
      </c>
      <c r="AH13">
        <f t="shared" ca="1" si="3"/>
        <v>0</v>
      </c>
      <c r="AI13">
        <f t="shared" ca="1" si="3"/>
        <v>0</v>
      </c>
      <c r="AJ13">
        <f t="shared" ca="1" si="3"/>
        <v>0</v>
      </c>
    </row>
    <row r="14" spans="1:70" x14ac:dyDescent="0.2">
      <c r="A14" s="16"/>
      <c r="B14" s="17"/>
      <c r="C14" s="18">
        <v>6</v>
      </c>
      <c r="F14" s="19" t="s">
        <v>22</v>
      </c>
      <c r="G14" s="2">
        <v>1</v>
      </c>
      <c r="H14" s="2">
        <v>2</v>
      </c>
      <c r="I14" s="2">
        <v>3</v>
      </c>
      <c r="J14" s="2">
        <v>4</v>
      </c>
      <c r="K14" s="2">
        <v>5</v>
      </c>
      <c r="L14" s="2">
        <v>6</v>
      </c>
      <c r="M14" s="2">
        <v>7</v>
      </c>
      <c r="N14" s="2">
        <v>8</v>
      </c>
      <c r="O14" s="2">
        <v>9</v>
      </c>
      <c r="P14" s="2">
        <v>10</v>
      </c>
      <c r="Q14" s="2">
        <v>11</v>
      </c>
      <c r="R14" s="2">
        <v>12</v>
      </c>
      <c r="S14" s="2">
        <v>13</v>
      </c>
      <c r="T14" s="2">
        <v>14</v>
      </c>
      <c r="U14" s="2">
        <v>15</v>
      </c>
      <c r="V14" s="2">
        <v>16</v>
      </c>
      <c r="W14" s="2">
        <v>17</v>
      </c>
      <c r="X14" s="2">
        <v>18</v>
      </c>
      <c r="Y14" s="2">
        <v>19</v>
      </c>
      <c r="Z14" s="2">
        <v>20</v>
      </c>
      <c r="AA14" s="2">
        <v>21</v>
      </c>
      <c r="AB14" s="2">
        <v>22</v>
      </c>
      <c r="AC14" s="2">
        <v>23</v>
      </c>
      <c r="AD14" s="2">
        <v>24</v>
      </c>
      <c r="AE14" s="2">
        <v>25</v>
      </c>
      <c r="AF14" s="2">
        <v>26</v>
      </c>
      <c r="AG14" s="2">
        <v>27</v>
      </c>
      <c r="AH14" s="2">
        <v>28</v>
      </c>
      <c r="AI14" s="2">
        <v>29</v>
      </c>
      <c r="AJ14" s="2">
        <v>30</v>
      </c>
    </row>
    <row r="15" spans="1:70" x14ac:dyDescent="0.2">
      <c r="A15" s="16"/>
      <c r="B15" s="17"/>
      <c r="C15" s="18">
        <v>1</v>
      </c>
      <c r="F15" s="3" t="s">
        <v>6</v>
      </c>
      <c r="G15">
        <v>0</v>
      </c>
      <c r="H15">
        <f t="shared" ref="H15:AJ15" si="4">IF(AND(H7&gt;0,G19-H3&gt;0),G22-1,G15-1)</f>
        <v>-1</v>
      </c>
      <c r="I15">
        <f t="shared" si="4"/>
        <v>-2</v>
      </c>
      <c r="J15">
        <f t="shared" si="4"/>
        <v>-3</v>
      </c>
      <c r="K15">
        <f t="shared" si="4"/>
        <v>-4</v>
      </c>
      <c r="L15">
        <f t="shared" si="4"/>
        <v>-5</v>
      </c>
      <c r="M15">
        <f t="shared" si="4"/>
        <v>-6</v>
      </c>
      <c r="N15">
        <f t="shared" si="4"/>
        <v>-7</v>
      </c>
      <c r="O15">
        <f t="shared" si="4"/>
        <v>-8</v>
      </c>
      <c r="P15">
        <f t="shared" si="4"/>
        <v>-9</v>
      </c>
      <c r="Q15">
        <f t="shared" si="4"/>
        <v>-10</v>
      </c>
      <c r="R15">
        <f t="shared" si="4"/>
        <v>-11</v>
      </c>
      <c r="S15">
        <f t="shared" si="4"/>
        <v>-12</v>
      </c>
      <c r="T15">
        <f t="shared" si="4"/>
        <v>-13</v>
      </c>
      <c r="U15">
        <f t="shared" si="4"/>
        <v>-14</v>
      </c>
      <c r="V15">
        <f t="shared" si="4"/>
        <v>-15</v>
      </c>
      <c r="W15">
        <f t="shared" si="4"/>
        <v>-16</v>
      </c>
      <c r="X15">
        <f t="shared" si="4"/>
        <v>-17</v>
      </c>
      <c r="Y15">
        <f t="shared" si="4"/>
        <v>-18</v>
      </c>
      <c r="Z15">
        <f t="shared" si="4"/>
        <v>-19</v>
      </c>
      <c r="AA15">
        <f t="shared" si="4"/>
        <v>-20</v>
      </c>
      <c r="AB15">
        <f t="shared" si="4"/>
        <v>-21</v>
      </c>
      <c r="AC15">
        <f t="shared" si="4"/>
        <v>-22</v>
      </c>
      <c r="AD15">
        <f t="shared" si="4"/>
        <v>-23</v>
      </c>
      <c r="AE15">
        <f t="shared" si="4"/>
        <v>-24</v>
      </c>
      <c r="AF15">
        <f t="shared" si="4"/>
        <v>-25</v>
      </c>
      <c r="AG15">
        <f t="shared" si="4"/>
        <v>-26</v>
      </c>
      <c r="AH15">
        <f t="shared" si="4"/>
        <v>-27</v>
      </c>
      <c r="AI15">
        <f t="shared" si="4"/>
        <v>-28</v>
      </c>
      <c r="AJ15">
        <f t="shared" si="4"/>
        <v>-29</v>
      </c>
      <c r="AL15" s="6"/>
    </row>
    <row r="16" spans="1:70" x14ac:dyDescent="0.2">
      <c r="A16" s="16"/>
      <c r="B16" s="17"/>
      <c r="C16" s="18">
        <v>5</v>
      </c>
      <c r="F16" s="3"/>
    </row>
    <row r="17" spans="5:70" x14ac:dyDescent="0.2">
      <c r="F17" s="15" t="s">
        <v>17</v>
      </c>
    </row>
    <row r="18" spans="5:70" x14ac:dyDescent="0.2">
      <c r="F18" s="10" t="s">
        <v>18</v>
      </c>
      <c r="G18" s="2">
        <v>1</v>
      </c>
      <c r="H18" s="2">
        <v>2</v>
      </c>
      <c r="I18" s="2">
        <v>3</v>
      </c>
      <c r="J18" s="2">
        <v>4</v>
      </c>
      <c r="K18" s="2">
        <v>5</v>
      </c>
      <c r="L18" s="2">
        <v>6</v>
      </c>
      <c r="M18" s="2">
        <v>7</v>
      </c>
      <c r="N18" s="2">
        <v>8</v>
      </c>
      <c r="O18" s="2">
        <v>9</v>
      </c>
      <c r="P18" s="2">
        <v>10</v>
      </c>
      <c r="Q18" s="2">
        <v>11</v>
      </c>
      <c r="R18" s="2">
        <v>12</v>
      </c>
      <c r="S18" s="2">
        <v>13</v>
      </c>
      <c r="T18" s="2">
        <v>14</v>
      </c>
      <c r="U18" s="2">
        <v>15</v>
      </c>
      <c r="V18" s="2">
        <v>16</v>
      </c>
      <c r="W18" s="2">
        <v>17</v>
      </c>
      <c r="X18" s="2">
        <v>18</v>
      </c>
      <c r="Y18" s="2">
        <v>19</v>
      </c>
      <c r="Z18" s="2">
        <v>20</v>
      </c>
      <c r="AA18" s="2">
        <v>21</v>
      </c>
      <c r="AB18" s="2">
        <v>22</v>
      </c>
      <c r="AC18" s="2">
        <v>23</v>
      </c>
      <c r="AD18" s="2">
        <v>24</v>
      </c>
      <c r="AE18" s="2">
        <v>25</v>
      </c>
      <c r="AF18" s="2">
        <v>26</v>
      </c>
      <c r="AG18" s="2">
        <v>27</v>
      </c>
      <c r="AH18" s="2">
        <v>28</v>
      </c>
      <c r="AI18" s="2">
        <v>29</v>
      </c>
      <c r="AJ18" s="2">
        <v>30</v>
      </c>
    </row>
    <row r="19" spans="5:70" x14ac:dyDescent="0.2">
      <c r="F19" s="3" t="s">
        <v>6</v>
      </c>
      <c r="G19">
        <f>G25</f>
        <v>4</v>
      </c>
      <c r="H19">
        <f>IF(H22=0,0-H3,G19+H25-H3)</f>
        <v>2</v>
      </c>
      <c r="I19">
        <f t="shared" ref="I19:AJ19" si="5">IF(I22=0,0-I3,H19+I25-I3)</f>
        <v>1</v>
      </c>
      <c r="J19">
        <f t="shared" si="5"/>
        <v>0</v>
      </c>
      <c r="K19">
        <f t="shared" si="5"/>
        <v>0</v>
      </c>
      <c r="L19">
        <f t="shared" si="5"/>
        <v>1</v>
      </c>
      <c r="M19">
        <f t="shared" si="5"/>
        <v>1</v>
      </c>
      <c r="N19">
        <f t="shared" si="5"/>
        <v>0</v>
      </c>
      <c r="O19">
        <f t="shared" si="5"/>
        <v>0</v>
      </c>
      <c r="P19">
        <f t="shared" si="5"/>
        <v>0</v>
      </c>
      <c r="Q19">
        <f t="shared" si="5"/>
        <v>3</v>
      </c>
      <c r="R19">
        <f t="shared" si="5"/>
        <v>3</v>
      </c>
      <c r="S19">
        <f t="shared" si="5"/>
        <v>0</v>
      </c>
      <c r="T19">
        <f t="shared" si="5"/>
        <v>0</v>
      </c>
      <c r="U19">
        <f t="shared" si="5"/>
        <v>0</v>
      </c>
      <c r="V19">
        <f t="shared" si="5"/>
        <v>1</v>
      </c>
      <c r="W19">
        <f t="shared" si="5"/>
        <v>1</v>
      </c>
      <c r="X19">
        <f t="shared" si="5"/>
        <v>0</v>
      </c>
      <c r="Y19">
        <f t="shared" si="5"/>
        <v>0</v>
      </c>
      <c r="Z19">
        <f t="shared" si="5"/>
        <v>0</v>
      </c>
      <c r="AA19">
        <f t="shared" si="5"/>
        <v>1</v>
      </c>
      <c r="AB19">
        <f t="shared" si="5"/>
        <v>0</v>
      </c>
      <c r="AC19">
        <f t="shared" si="5"/>
        <v>0</v>
      </c>
      <c r="AD19">
        <f t="shared" si="5"/>
        <v>0</v>
      </c>
      <c r="AE19">
        <f t="shared" si="5"/>
        <v>0</v>
      </c>
      <c r="AF19">
        <f t="shared" si="5"/>
        <v>2</v>
      </c>
      <c r="AG19">
        <f t="shared" si="5"/>
        <v>0</v>
      </c>
      <c r="AH19">
        <f t="shared" si="5"/>
        <v>0</v>
      </c>
      <c r="AI19">
        <f t="shared" si="5"/>
        <v>0</v>
      </c>
      <c r="AJ19">
        <f t="shared" si="5"/>
        <v>0</v>
      </c>
      <c r="BR19" s="3"/>
    </row>
    <row r="21" spans="5:70" x14ac:dyDescent="0.2">
      <c r="F21" s="10" t="s">
        <v>23</v>
      </c>
      <c r="G21" s="2">
        <v>1</v>
      </c>
      <c r="H21" s="2">
        <v>2</v>
      </c>
      <c r="I21" s="2">
        <v>3</v>
      </c>
      <c r="J21" s="2">
        <v>4</v>
      </c>
      <c r="K21" s="2">
        <v>5</v>
      </c>
      <c r="L21" s="2">
        <v>6</v>
      </c>
      <c r="M21" s="2">
        <v>7</v>
      </c>
      <c r="N21" s="2">
        <v>8</v>
      </c>
      <c r="O21" s="2">
        <v>9</v>
      </c>
      <c r="P21" s="2">
        <v>10</v>
      </c>
      <c r="Q21" s="2">
        <v>11</v>
      </c>
      <c r="R21" s="2">
        <v>12</v>
      </c>
      <c r="S21" s="2">
        <v>13</v>
      </c>
      <c r="T21" s="2">
        <v>14</v>
      </c>
      <c r="U21" s="2">
        <v>15</v>
      </c>
      <c r="V21" s="2">
        <v>16</v>
      </c>
      <c r="W21" s="2">
        <v>17</v>
      </c>
      <c r="X21" s="2">
        <v>18</v>
      </c>
      <c r="Y21" s="2">
        <v>19</v>
      </c>
      <c r="Z21" s="2">
        <v>20</v>
      </c>
      <c r="AA21" s="2">
        <v>21</v>
      </c>
      <c r="AB21" s="2">
        <v>22</v>
      </c>
      <c r="AC21" s="2">
        <v>23</v>
      </c>
      <c r="AD21" s="2">
        <v>24</v>
      </c>
      <c r="AE21" s="2">
        <v>25</v>
      </c>
      <c r="AF21" s="2">
        <v>26</v>
      </c>
      <c r="AG21" s="2">
        <v>27</v>
      </c>
      <c r="AH21" s="2">
        <v>28</v>
      </c>
      <c r="AI21" s="2">
        <v>29</v>
      </c>
      <c r="AJ21" s="2">
        <v>30</v>
      </c>
    </row>
    <row r="22" spans="5:70" x14ac:dyDescent="0.2">
      <c r="F22" s="3" t="s">
        <v>6</v>
      </c>
      <c r="G22">
        <f>IF(G7&gt;0,E3,0)</f>
        <v>3</v>
      </c>
      <c r="H22">
        <f t="shared" ref="H22:AJ22" si="6">IF(H7=0,G22-1,$E3)</f>
        <v>2</v>
      </c>
      <c r="I22">
        <f t="shared" si="6"/>
        <v>1</v>
      </c>
      <c r="J22">
        <f t="shared" si="6"/>
        <v>0</v>
      </c>
      <c r="K22">
        <f t="shared" si="6"/>
        <v>-1</v>
      </c>
      <c r="L22">
        <f t="shared" si="6"/>
        <v>3</v>
      </c>
      <c r="M22">
        <f t="shared" si="6"/>
        <v>2</v>
      </c>
      <c r="N22">
        <f t="shared" si="6"/>
        <v>1</v>
      </c>
      <c r="O22">
        <f t="shared" si="6"/>
        <v>0</v>
      </c>
      <c r="P22">
        <f t="shared" si="6"/>
        <v>-1</v>
      </c>
      <c r="Q22">
        <f t="shared" si="6"/>
        <v>3</v>
      </c>
      <c r="R22">
        <f t="shared" si="6"/>
        <v>2</v>
      </c>
      <c r="S22">
        <f t="shared" si="6"/>
        <v>1</v>
      </c>
      <c r="T22">
        <f t="shared" si="6"/>
        <v>0</v>
      </c>
      <c r="U22">
        <f t="shared" si="6"/>
        <v>-1</v>
      </c>
      <c r="V22">
        <f t="shared" si="6"/>
        <v>3</v>
      </c>
      <c r="W22">
        <f t="shared" si="6"/>
        <v>2</v>
      </c>
      <c r="X22">
        <f t="shared" si="6"/>
        <v>1</v>
      </c>
      <c r="Y22">
        <f t="shared" si="6"/>
        <v>0</v>
      </c>
      <c r="Z22">
        <f t="shared" si="6"/>
        <v>-1</v>
      </c>
      <c r="AA22">
        <f t="shared" si="6"/>
        <v>3</v>
      </c>
      <c r="AB22">
        <f t="shared" si="6"/>
        <v>2</v>
      </c>
      <c r="AC22">
        <f t="shared" si="6"/>
        <v>1</v>
      </c>
      <c r="AD22">
        <f t="shared" si="6"/>
        <v>0</v>
      </c>
      <c r="AE22">
        <f t="shared" si="6"/>
        <v>-1</v>
      </c>
      <c r="AF22">
        <f t="shared" si="6"/>
        <v>3</v>
      </c>
      <c r="AG22">
        <f t="shared" si="6"/>
        <v>2</v>
      </c>
      <c r="AH22">
        <f t="shared" si="6"/>
        <v>1</v>
      </c>
      <c r="AI22">
        <f t="shared" si="6"/>
        <v>0</v>
      </c>
      <c r="AJ22">
        <f t="shared" si="6"/>
        <v>-1</v>
      </c>
    </row>
    <row r="23" spans="5:70" x14ac:dyDescent="0.2">
      <c r="F23" s="3"/>
    </row>
    <row r="24" spans="5:70" x14ac:dyDescent="0.2">
      <c r="F24" s="10" t="s">
        <v>19</v>
      </c>
      <c r="G24" s="2">
        <v>1</v>
      </c>
      <c r="H24" s="2">
        <v>2</v>
      </c>
      <c r="I24" s="2">
        <v>3</v>
      </c>
      <c r="J24" s="2">
        <v>4</v>
      </c>
      <c r="K24" s="2">
        <v>5</v>
      </c>
      <c r="L24" s="2">
        <v>6</v>
      </c>
      <c r="M24" s="2">
        <v>7</v>
      </c>
      <c r="N24" s="2">
        <v>8</v>
      </c>
      <c r="O24" s="2">
        <v>9</v>
      </c>
      <c r="P24" s="2">
        <v>10</v>
      </c>
      <c r="Q24" s="2">
        <v>11</v>
      </c>
      <c r="R24" s="2">
        <v>12</v>
      </c>
      <c r="S24" s="2">
        <v>13</v>
      </c>
      <c r="T24" s="2">
        <v>14</v>
      </c>
      <c r="U24" s="2">
        <v>15</v>
      </c>
      <c r="V24" s="2">
        <v>16</v>
      </c>
      <c r="W24" s="2">
        <v>17</v>
      </c>
      <c r="X24" s="2">
        <v>18</v>
      </c>
      <c r="Y24" s="2">
        <v>19</v>
      </c>
      <c r="Z24" s="2">
        <v>20</v>
      </c>
      <c r="AA24" s="2">
        <v>21</v>
      </c>
      <c r="AB24" s="2">
        <v>22</v>
      </c>
      <c r="AC24" s="2">
        <v>23</v>
      </c>
      <c r="AD24" s="2">
        <v>24</v>
      </c>
      <c r="AE24" s="2">
        <v>25</v>
      </c>
      <c r="AF24" s="2">
        <v>26</v>
      </c>
      <c r="AG24" s="2">
        <v>27</v>
      </c>
      <c r="AH24" s="2">
        <v>28</v>
      </c>
      <c r="AI24" s="2">
        <v>29</v>
      </c>
      <c r="AJ24" s="2">
        <v>30</v>
      </c>
      <c r="BO24" s="14"/>
      <c r="BP24" s="14"/>
      <c r="BQ24" s="14"/>
      <c r="BR24" s="3"/>
    </row>
    <row r="25" spans="5:70" x14ac:dyDescent="0.2">
      <c r="F25" s="3" t="s">
        <v>6</v>
      </c>
      <c r="G25">
        <f t="shared" ref="G25:AJ25" si="7">G7*$C9</f>
        <v>4</v>
      </c>
      <c r="H25">
        <f>H7*$C9</f>
        <v>0</v>
      </c>
      <c r="I25">
        <f t="shared" si="7"/>
        <v>0</v>
      </c>
      <c r="J25">
        <f t="shared" si="7"/>
        <v>0</v>
      </c>
      <c r="K25">
        <f t="shared" si="7"/>
        <v>0</v>
      </c>
      <c r="L25">
        <f t="shared" si="7"/>
        <v>3</v>
      </c>
      <c r="M25">
        <f t="shared" si="7"/>
        <v>0</v>
      </c>
      <c r="N25">
        <f t="shared" si="7"/>
        <v>0</v>
      </c>
      <c r="O25">
        <f t="shared" si="7"/>
        <v>0</v>
      </c>
      <c r="P25">
        <f t="shared" si="7"/>
        <v>0</v>
      </c>
      <c r="Q25">
        <f t="shared" si="7"/>
        <v>3</v>
      </c>
      <c r="R25">
        <f t="shared" si="7"/>
        <v>0</v>
      </c>
      <c r="S25">
        <f t="shared" si="7"/>
        <v>0</v>
      </c>
      <c r="T25">
        <f t="shared" si="7"/>
        <v>0</v>
      </c>
      <c r="U25">
        <f t="shared" si="7"/>
        <v>0</v>
      </c>
      <c r="V25">
        <f t="shared" si="7"/>
        <v>2</v>
      </c>
      <c r="W25">
        <f t="shared" si="7"/>
        <v>0</v>
      </c>
      <c r="X25">
        <f t="shared" si="7"/>
        <v>0</v>
      </c>
      <c r="Y25">
        <f t="shared" si="7"/>
        <v>0</v>
      </c>
      <c r="Z25">
        <f t="shared" si="7"/>
        <v>0</v>
      </c>
      <c r="AA25">
        <f t="shared" si="7"/>
        <v>1</v>
      </c>
      <c r="AB25">
        <f t="shared" si="7"/>
        <v>0</v>
      </c>
      <c r="AC25">
        <f t="shared" si="7"/>
        <v>0</v>
      </c>
      <c r="AD25">
        <f t="shared" si="7"/>
        <v>0</v>
      </c>
      <c r="AE25">
        <f t="shared" si="7"/>
        <v>0</v>
      </c>
      <c r="AF25">
        <f t="shared" si="7"/>
        <v>2</v>
      </c>
      <c r="AG25">
        <f t="shared" si="7"/>
        <v>0</v>
      </c>
      <c r="AH25">
        <f t="shared" si="7"/>
        <v>0</v>
      </c>
      <c r="AI25">
        <f t="shared" si="7"/>
        <v>0</v>
      </c>
      <c r="AJ25">
        <f t="shared" si="7"/>
        <v>0</v>
      </c>
      <c r="BR25" s="3"/>
    </row>
    <row r="26" spans="5:70" x14ac:dyDescent="0.2">
      <c r="F26" s="3"/>
      <c r="BR26" s="3"/>
    </row>
    <row r="27" spans="5:70" x14ac:dyDescent="0.2">
      <c r="F27" s="10" t="s">
        <v>24</v>
      </c>
      <c r="G27" s="2">
        <v>1</v>
      </c>
      <c r="H27" s="2">
        <v>2</v>
      </c>
      <c r="I27" s="2">
        <v>3</v>
      </c>
      <c r="J27" s="2">
        <v>4</v>
      </c>
      <c r="K27" s="2">
        <v>5</v>
      </c>
      <c r="L27" s="2">
        <v>6</v>
      </c>
      <c r="M27" s="2">
        <v>7</v>
      </c>
      <c r="N27" s="2">
        <v>8</v>
      </c>
      <c r="O27" s="2">
        <v>9</v>
      </c>
      <c r="P27" s="2">
        <v>10</v>
      </c>
      <c r="Q27" s="2">
        <v>11</v>
      </c>
      <c r="R27" s="2">
        <v>12</v>
      </c>
      <c r="S27" s="2">
        <v>13</v>
      </c>
      <c r="T27" s="2">
        <v>14</v>
      </c>
      <c r="U27" s="2">
        <v>15</v>
      </c>
      <c r="V27" s="2">
        <v>16</v>
      </c>
      <c r="W27" s="2">
        <v>17</v>
      </c>
      <c r="X27" s="2">
        <v>18</v>
      </c>
      <c r="Y27" s="2">
        <v>19</v>
      </c>
      <c r="Z27" s="2">
        <v>20</v>
      </c>
      <c r="AA27" s="2">
        <v>21</v>
      </c>
      <c r="AB27" s="2">
        <v>22</v>
      </c>
      <c r="AC27" s="2">
        <v>23</v>
      </c>
      <c r="AD27" s="2">
        <v>24</v>
      </c>
      <c r="AE27" s="2">
        <v>25</v>
      </c>
      <c r="AF27" s="2">
        <v>26</v>
      </c>
      <c r="AG27" s="2">
        <v>27</v>
      </c>
      <c r="AH27" s="2">
        <v>28</v>
      </c>
      <c r="AI27" s="2">
        <v>29</v>
      </c>
      <c r="AJ27" s="2">
        <v>30</v>
      </c>
      <c r="BR27" s="3"/>
    </row>
    <row r="28" spans="5:70" x14ac:dyDescent="0.2">
      <c r="F28" s="3" t="s">
        <v>6</v>
      </c>
      <c r="G28">
        <v>0</v>
      </c>
      <c r="H28">
        <f>IF(H15=0,IF(H22=0, H19, IF(G11-H3&lt;0,0,G11-H3)),IF(H22=0,IF(G19-H3&lt;0,0,G19-H3),0))</f>
        <v>0</v>
      </c>
      <c r="I28">
        <f>IF(I15=0,IF(I22=0, I19, IF(H11-I3&lt;0,0,H11-I3)),IF(I22=0,IF(H19-I3&lt;0,0,H19-I3),0))</f>
        <v>0</v>
      </c>
      <c r="J28">
        <f t="shared" ref="I28:AJ28" si="8">IF(J15=0,IF(J22=0, J19, IF(I11-J3&lt;0,0,I11-J3)),IF(J22=0,IF(I19-J3&lt;0,0,I19-J3),0))</f>
        <v>1</v>
      </c>
      <c r="K28">
        <f t="shared" si="8"/>
        <v>0</v>
      </c>
      <c r="L28">
        <f t="shared" si="8"/>
        <v>0</v>
      </c>
      <c r="M28">
        <f t="shared" si="8"/>
        <v>0</v>
      </c>
      <c r="N28">
        <f t="shared" si="8"/>
        <v>0</v>
      </c>
      <c r="O28">
        <f t="shared" si="8"/>
        <v>0</v>
      </c>
      <c r="P28">
        <f t="shared" si="8"/>
        <v>0</v>
      </c>
      <c r="Q28">
        <f t="shared" si="8"/>
        <v>0</v>
      </c>
      <c r="R28">
        <f t="shared" si="8"/>
        <v>0</v>
      </c>
      <c r="S28">
        <f t="shared" si="8"/>
        <v>0</v>
      </c>
      <c r="T28">
        <f t="shared" si="8"/>
        <v>0</v>
      </c>
      <c r="U28">
        <f t="shared" si="8"/>
        <v>0</v>
      </c>
      <c r="V28">
        <f t="shared" si="8"/>
        <v>0</v>
      </c>
      <c r="W28">
        <f t="shared" si="8"/>
        <v>0</v>
      </c>
      <c r="X28">
        <f t="shared" si="8"/>
        <v>0</v>
      </c>
      <c r="Y28">
        <f t="shared" si="8"/>
        <v>0</v>
      </c>
      <c r="Z28">
        <f t="shared" si="8"/>
        <v>0</v>
      </c>
      <c r="AA28">
        <f t="shared" si="8"/>
        <v>0</v>
      </c>
      <c r="AB28">
        <f t="shared" si="8"/>
        <v>0</v>
      </c>
      <c r="AC28">
        <f t="shared" si="8"/>
        <v>0</v>
      </c>
      <c r="AD28">
        <f t="shared" si="8"/>
        <v>0</v>
      </c>
      <c r="AE28">
        <f t="shared" si="8"/>
        <v>0</v>
      </c>
      <c r="AF28">
        <f t="shared" si="8"/>
        <v>0</v>
      </c>
      <c r="AG28">
        <f t="shared" si="8"/>
        <v>0</v>
      </c>
      <c r="AH28">
        <f t="shared" si="8"/>
        <v>0</v>
      </c>
      <c r="AI28">
        <f t="shared" si="8"/>
        <v>0</v>
      </c>
      <c r="AJ28">
        <f t="shared" si="8"/>
        <v>0</v>
      </c>
      <c r="BR28" s="3"/>
    </row>
    <row r="29" spans="5:70" x14ac:dyDescent="0.2">
      <c r="E29" t="s">
        <v>6</v>
      </c>
      <c r="F29">
        <v>1</v>
      </c>
      <c r="G29">
        <v>1</v>
      </c>
      <c r="AK29">
        <f>SUMPRODUCT($G$7:$AJ$7,G29:AJ29)</f>
        <v>4</v>
      </c>
      <c r="AL29" t="s">
        <v>16</v>
      </c>
      <c r="AM29">
        <f ca="1">IF(G6=1,SUM(OFFSET(G3,0,0,1,$AM$2)),0)</f>
        <v>4</v>
      </c>
      <c r="BR29" s="3"/>
    </row>
    <row r="30" spans="5:70" x14ac:dyDescent="0.2">
      <c r="F30">
        <v>2</v>
      </c>
      <c r="H30">
        <v>1</v>
      </c>
      <c r="AK30">
        <f t="shared" ref="AK30:AK58" si="9">SUMPRODUCT($G$7:$AJ$7,G30:AJ30)</f>
        <v>0</v>
      </c>
      <c r="AL30" t="s">
        <v>16</v>
      </c>
      <c r="AM30">
        <f ca="1">H13</f>
        <v>0</v>
      </c>
      <c r="BR30" s="3"/>
    </row>
    <row r="31" spans="5:70" x14ac:dyDescent="0.2">
      <c r="F31">
        <v>3</v>
      </c>
      <c r="I31">
        <v>1</v>
      </c>
      <c r="AK31">
        <f t="shared" si="9"/>
        <v>0</v>
      </c>
      <c r="AL31" t="s">
        <v>16</v>
      </c>
      <c r="AM31">
        <f ca="1">I13</f>
        <v>0</v>
      </c>
      <c r="BR31" s="3"/>
    </row>
    <row r="32" spans="5:70" x14ac:dyDescent="0.2">
      <c r="F32">
        <v>4</v>
      </c>
      <c r="J32">
        <v>1</v>
      </c>
      <c r="AK32">
        <f t="shared" si="9"/>
        <v>0</v>
      </c>
      <c r="AL32" t="s">
        <v>16</v>
      </c>
      <c r="AM32">
        <f ca="1">J13</f>
        <v>0</v>
      </c>
      <c r="BR32" s="3"/>
    </row>
    <row r="33" spans="6:70" x14ac:dyDescent="0.2">
      <c r="F33">
        <v>5</v>
      </c>
      <c r="K33">
        <v>1</v>
      </c>
      <c r="AK33">
        <f t="shared" si="9"/>
        <v>0</v>
      </c>
      <c r="AL33" t="s">
        <v>16</v>
      </c>
      <c r="AM33">
        <f ca="1">K13</f>
        <v>0</v>
      </c>
    </row>
    <row r="34" spans="6:70" x14ac:dyDescent="0.2">
      <c r="F34">
        <v>6</v>
      </c>
      <c r="L34">
        <v>1</v>
      </c>
      <c r="AK34">
        <f t="shared" si="9"/>
        <v>3</v>
      </c>
      <c r="AL34" t="s">
        <v>16</v>
      </c>
      <c r="AM34">
        <f ca="1">L13</f>
        <v>3</v>
      </c>
    </row>
    <row r="35" spans="6:70" x14ac:dyDescent="0.2">
      <c r="F35">
        <v>7</v>
      </c>
      <c r="M35">
        <v>1</v>
      </c>
      <c r="AK35">
        <f t="shared" si="9"/>
        <v>0</v>
      </c>
      <c r="AL35" t="s">
        <v>16</v>
      </c>
      <c r="AM35">
        <f ca="1">M13</f>
        <v>0</v>
      </c>
      <c r="BR35" s="3"/>
    </row>
    <row r="36" spans="6:70" x14ac:dyDescent="0.2">
      <c r="F36">
        <v>8</v>
      </c>
      <c r="N36">
        <v>1</v>
      </c>
      <c r="AK36">
        <f t="shared" si="9"/>
        <v>0</v>
      </c>
      <c r="AL36" t="s">
        <v>16</v>
      </c>
      <c r="AM36">
        <f ca="1">N13</f>
        <v>0</v>
      </c>
      <c r="BR36" s="3"/>
    </row>
    <row r="37" spans="6:70" x14ac:dyDescent="0.2">
      <c r="F37">
        <v>9</v>
      </c>
      <c r="O37">
        <v>1</v>
      </c>
      <c r="AK37">
        <f t="shared" si="9"/>
        <v>0</v>
      </c>
      <c r="AL37" t="s">
        <v>16</v>
      </c>
      <c r="AM37">
        <f ca="1">O13</f>
        <v>0</v>
      </c>
      <c r="BR37" s="3"/>
    </row>
    <row r="38" spans="6:70" x14ac:dyDescent="0.2">
      <c r="F38">
        <v>10</v>
      </c>
      <c r="P38">
        <v>1</v>
      </c>
      <c r="AK38">
        <f t="shared" si="9"/>
        <v>0</v>
      </c>
      <c r="AL38" t="s">
        <v>16</v>
      </c>
      <c r="AM38">
        <f ca="1">P13</f>
        <v>0</v>
      </c>
      <c r="BR38" s="3"/>
    </row>
    <row r="39" spans="6:70" x14ac:dyDescent="0.2">
      <c r="F39">
        <v>11</v>
      </c>
      <c r="Q39">
        <v>1</v>
      </c>
      <c r="AK39">
        <f t="shared" si="9"/>
        <v>3</v>
      </c>
      <c r="AL39" t="s">
        <v>16</v>
      </c>
      <c r="AM39">
        <f ca="1">Q13</f>
        <v>3</v>
      </c>
      <c r="BR39" s="3"/>
    </row>
    <row r="40" spans="6:70" x14ac:dyDescent="0.2">
      <c r="F40">
        <v>12</v>
      </c>
      <c r="R40">
        <v>1</v>
      </c>
      <c r="AK40">
        <f t="shared" si="9"/>
        <v>0</v>
      </c>
      <c r="AL40" t="s">
        <v>16</v>
      </c>
      <c r="AM40">
        <f ca="1">R13</f>
        <v>0</v>
      </c>
      <c r="BR40" s="3"/>
    </row>
    <row r="41" spans="6:70" x14ac:dyDescent="0.2">
      <c r="F41">
        <v>13</v>
      </c>
      <c r="S41">
        <v>1</v>
      </c>
      <c r="AK41">
        <f t="shared" si="9"/>
        <v>0</v>
      </c>
      <c r="AL41" t="s">
        <v>16</v>
      </c>
      <c r="AM41">
        <f ca="1">S13</f>
        <v>0</v>
      </c>
      <c r="BR41" s="3"/>
    </row>
    <row r="42" spans="6:70" x14ac:dyDescent="0.2">
      <c r="F42">
        <v>14</v>
      </c>
      <c r="T42">
        <v>1</v>
      </c>
      <c r="AK42">
        <f t="shared" si="9"/>
        <v>0</v>
      </c>
      <c r="AL42" t="s">
        <v>16</v>
      </c>
      <c r="AM42">
        <f ca="1">T13</f>
        <v>0</v>
      </c>
    </row>
    <row r="43" spans="6:70" x14ac:dyDescent="0.2">
      <c r="F43">
        <v>15</v>
      </c>
      <c r="U43">
        <v>1</v>
      </c>
      <c r="AK43">
        <f t="shared" si="9"/>
        <v>0</v>
      </c>
      <c r="AL43" t="s">
        <v>16</v>
      </c>
      <c r="AM43">
        <f ca="1">U13</f>
        <v>0</v>
      </c>
    </row>
    <row r="44" spans="6:70" x14ac:dyDescent="0.2">
      <c r="F44">
        <v>16</v>
      </c>
      <c r="V44">
        <v>1</v>
      </c>
      <c r="AK44">
        <f t="shared" si="9"/>
        <v>2</v>
      </c>
      <c r="AL44" t="s">
        <v>16</v>
      </c>
      <c r="AM44">
        <f ca="1">V13</f>
        <v>2</v>
      </c>
    </row>
    <row r="45" spans="6:70" x14ac:dyDescent="0.2">
      <c r="F45">
        <v>17</v>
      </c>
      <c r="W45">
        <v>1</v>
      </c>
      <c r="AK45">
        <f t="shared" si="9"/>
        <v>0</v>
      </c>
      <c r="AL45" t="s">
        <v>16</v>
      </c>
      <c r="AM45">
        <f ca="1">W13</f>
        <v>0</v>
      </c>
      <c r="BR45" s="3"/>
    </row>
    <row r="46" spans="6:70" x14ac:dyDescent="0.2">
      <c r="F46">
        <v>18</v>
      </c>
      <c r="X46">
        <v>1</v>
      </c>
      <c r="AK46">
        <f t="shared" si="9"/>
        <v>0</v>
      </c>
      <c r="AL46" t="s">
        <v>16</v>
      </c>
      <c r="AM46">
        <f ca="1">X13</f>
        <v>0</v>
      </c>
      <c r="BR46" s="3"/>
    </row>
    <row r="47" spans="6:70" x14ac:dyDescent="0.2">
      <c r="F47">
        <v>19</v>
      </c>
      <c r="Y47">
        <v>1</v>
      </c>
      <c r="AK47">
        <f t="shared" si="9"/>
        <v>0</v>
      </c>
      <c r="AL47" t="s">
        <v>16</v>
      </c>
      <c r="AM47">
        <f ca="1">Y13</f>
        <v>0</v>
      </c>
      <c r="BR47" s="3"/>
    </row>
    <row r="48" spans="6:70" x14ac:dyDescent="0.2">
      <c r="F48">
        <v>20</v>
      </c>
      <c r="Z48">
        <v>1</v>
      </c>
      <c r="AK48">
        <f t="shared" si="9"/>
        <v>0</v>
      </c>
      <c r="AL48" t="s">
        <v>16</v>
      </c>
      <c r="AM48">
        <f ca="1">Z13</f>
        <v>0</v>
      </c>
      <c r="BR48" s="3"/>
    </row>
    <row r="49" spans="6:70" x14ac:dyDescent="0.2">
      <c r="F49">
        <v>21</v>
      </c>
      <c r="AA49">
        <v>1</v>
      </c>
      <c r="AK49">
        <f t="shared" si="9"/>
        <v>1</v>
      </c>
      <c r="AL49" t="s">
        <v>16</v>
      </c>
      <c r="AM49">
        <f ca="1">AA13</f>
        <v>1</v>
      </c>
      <c r="BR49" s="3"/>
    </row>
    <row r="50" spans="6:70" x14ac:dyDescent="0.2">
      <c r="F50">
        <v>22</v>
      </c>
      <c r="AB50">
        <v>1</v>
      </c>
      <c r="AK50">
        <f t="shared" si="9"/>
        <v>0</v>
      </c>
      <c r="AL50" t="s">
        <v>16</v>
      </c>
      <c r="AM50">
        <f ca="1">AB13</f>
        <v>0</v>
      </c>
      <c r="BR50" s="3"/>
    </row>
    <row r="51" spans="6:70" x14ac:dyDescent="0.2">
      <c r="F51">
        <v>23</v>
      </c>
      <c r="AC51">
        <v>1</v>
      </c>
      <c r="AK51">
        <f t="shared" si="9"/>
        <v>0</v>
      </c>
      <c r="AL51" t="s">
        <v>16</v>
      </c>
      <c r="AM51">
        <f ca="1">AC13</f>
        <v>0</v>
      </c>
      <c r="BR51" s="3"/>
    </row>
    <row r="52" spans="6:70" x14ac:dyDescent="0.2">
      <c r="F52">
        <v>24</v>
      </c>
      <c r="AD52">
        <v>1</v>
      </c>
      <c r="AK52">
        <f t="shared" si="9"/>
        <v>0</v>
      </c>
      <c r="AL52" t="s">
        <v>16</v>
      </c>
      <c r="AM52">
        <f ca="1">AD13</f>
        <v>0</v>
      </c>
    </row>
    <row r="53" spans="6:70" x14ac:dyDescent="0.2">
      <c r="F53">
        <v>25</v>
      </c>
      <c r="AE53">
        <v>1</v>
      </c>
      <c r="AK53">
        <f t="shared" si="9"/>
        <v>0</v>
      </c>
      <c r="AL53" t="s">
        <v>16</v>
      </c>
      <c r="AM53">
        <f ca="1">AE13</f>
        <v>0</v>
      </c>
    </row>
    <row r="54" spans="6:70" x14ac:dyDescent="0.2">
      <c r="F54">
        <v>26</v>
      </c>
      <c r="AF54">
        <v>1</v>
      </c>
      <c r="AK54">
        <f t="shared" si="9"/>
        <v>2</v>
      </c>
      <c r="AL54" t="s">
        <v>16</v>
      </c>
      <c r="AM54">
        <f ca="1">AF13</f>
        <v>2</v>
      </c>
    </row>
    <row r="55" spans="6:70" x14ac:dyDescent="0.2">
      <c r="F55">
        <v>27</v>
      </c>
      <c r="AG55">
        <v>1</v>
      </c>
      <c r="AK55">
        <f t="shared" si="9"/>
        <v>0</v>
      </c>
      <c r="AL55" t="s">
        <v>16</v>
      </c>
      <c r="AM55">
        <f ca="1">AG13</f>
        <v>0</v>
      </c>
      <c r="BR55" s="3"/>
    </row>
    <row r="56" spans="6:70" x14ac:dyDescent="0.2">
      <c r="F56">
        <v>28</v>
      </c>
      <c r="AH56">
        <v>1</v>
      </c>
      <c r="AK56">
        <f t="shared" si="9"/>
        <v>0</v>
      </c>
      <c r="AL56" t="s">
        <v>16</v>
      </c>
      <c r="AM56">
        <f ca="1">AH13</f>
        <v>0</v>
      </c>
      <c r="BR56" s="3"/>
    </row>
    <row r="57" spans="6:70" x14ac:dyDescent="0.2">
      <c r="F57">
        <v>29</v>
      </c>
      <c r="AI57">
        <v>1</v>
      </c>
      <c r="AK57">
        <f t="shared" si="9"/>
        <v>0</v>
      </c>
      <c r="AL57" t="s">
        <v>16</v>
      </c>
      <c r="AM57">
        <f ca="1">AI13</f>
        <v>0</v>
      </c>
      <c r="BR57" s="3"/>
    </row>
    <row r="58" spans="6:70" x14ac:dyDescent="0.2">
      <c r="F58">
        <v>30</v>
      </c>
      <c r="AJ58">
        <v>1</v>
      </c>
      <c r="AK58">
        <f t="shared" si="9"/>
        <v>0</v>
      </c>
      <c r="AL58" t="s">
        <v>16</v>
      </c>
      <c r="AM58">
        <f ca="1">AJ13</f>
        <v>0</v>
      </c>
      <c r="BR58" s="3"/>
    </row>
    <row r="59" spans="6:70" x14ac:dyDescent="0.2">
      <c r="BR59" s="3"/>
    </row>
    <row r="60" spans="6:70" x14ac:dyDescent="0.2">
      <c r="BR60" s="3"/>
    </row>
    <row r="61" spans="6:70" x14ac:dyDescent="0.2">
      <c r="BR61" s="3"/>
    </row>
    <row r="80" spans="2:66" x14ac:dyDescent="0.2"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</row>
    <row r="136" spans="2:66" x14ac:dyDescent="0.2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</row>
    <row r="164" spans="2:66" x14ac:dyDescent="0.2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</row>
    <row r="192" spans="2:66" x14ac:dyDescent="0.2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</row>
    <row r="220" spans="2:66" x14ac:dyDescent="0.2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</row>
  </sheetData>
  <conditionalFormatting sqref="BZ7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24:CT30 BS55:CT61 G19:AJ19 G28:AJ28">
    <cfRule type="cellIs" dxfId="8" priority="2" operator="lessThan">
      <formula>0</formula>
    </cfRule>
  </conditionalFormatting>
  <conditionalFormatting sqref="G6:AJ6">
    <cfRule type="colorScale" priority="7">
      <colorScale>
        <cfvo type="min"/>
        <cfvo type="max"/>
        <color theme="0"/>
        <color theme="7"/>
      </colorScale>
    </cfRule>
    <cfRule type="colorScale" priority="8">
      <colorScale>
        <cfvo type="min"/>
        <cfvo type="max"/>
        <color rgb="FF63BE7B"/>
        <color rgb="FFFFEF9C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F0E06-98E8-4951-82B5-C3BD979B3540}">
  <sheetPr codeName="Sheet3"/>
  <dimension ref="A1:BR220"/>
  <sheetViews>
    <sheetView zoomScale="80" zoomScaleNormal="80" workbookViewId="0">
      <selection activeCell="G7" sqref="G7:AJ7"/>
    </sheetView>
  </sheetViews>
  <sheetFormatPr baseColWidth="10" defaultColWidth="11" defaultRowHeight="16" x14ac:dyDescent="0.2"/>
  <cols>
    <col min="1" max="1" width="12" customWidth="1"/>
    <col min="3" max="3" width="12.6640625" customWidth="1"/>
    <col min="4" max="4" width="4.6640625" customWidth="1"/>
    <col min="5" max="5" width="8.6640625" bestFit="1" customWidth="1"/>
    <col min="6" max="6" width="9.6640625" bestFit="1" customWidth="1"/>
    <col min="7" max="36" width="4.6640625" customWidth="1"/>
    <col min="37" max="37" width="13.33203125" customWidth="1"/>
    <col min="39" max="39" width="9.6640625" customWidth="1"/>
    <col min="40" max="40" width="5.1640625" customWidth="1"/>
    <col min="41" max="41" width="4" customWidth="1"/>
    <col min="42" max="42" width="3.1640625" customWidth="1"/>
    <col min="43" max="47" width="2.6640625" customWidth="1"/>
    <col min="48" max="69" width="3.1640625" customWidth="1"/>
    <col min="70" max="70" width="15.5" customWidth="1"/>
    <col min="71" max="71" width="3.1640625" customWidth="1"/>
    <col min="72" max="72" width="3.6640625" customWidth="1"/>
    <col min="73" max="73" width="3.1640625" customWidth="1"/>
    <col min="74" max="98" width="3.6640625" customWidth="1"/>
    <col min="99" max="100" width="2.83203125" bestFit="1" customWidth="1"/>
    <col min="102" max="102" width="10.6640625" customWidth="1"/>
    <col min="103" max="103" width="14.6640625" customWidth="1"/>
  </cols>
  <sheetData>
    <row r="1" spans="1:70" x14ac:dyDescent="0.2">
      <c r="G1" s="5">
        <f t="shared" ref="G1:AJ1" si="0">G2/$AM$2</f>
        <v>0.2</v>
      </c>
      <c r="H1" s="5">
        <f t="shared" si="0"/>
        <v>0.4</v>
      </c>
      <c r="I1" s="5">
        <f t="shared" si="0"/>
        <v>0.6</v>
      </c>
      <c r="J1" s="5">
        <f t="shared" si="0"/>
        <v>0.8</v>
      </c>
      <c r="K1" s="5">
        <f t="shared" si="0"/>
        <v>1</v>
      </c>
      <c r="L1" s="5">
        <f t="shared" si="0"/>
        <v>1.2</v>
      </c>
      <c r="M1" s="5">
        <f t="shared" si="0"/>
        <v>1.4</v>
      </c>
      <c r="N1" s="5">
        <f t="shared" si="0"/>
        <v>1.6</v>
      </c>
      <c r="O1" s="5">
        <f t="shared" si="0"/>
        <v>1.8</v>
      </c>
      <c r="P1" s="5">
        <f t="shared" si="0"/>
        <v>2</v>
      </c>
      <c r="Q1" s="5">
        <f t="shared" si="0"/>
        <v>2.2000000000000002</v>
      </c>
      <c r="R1" s="5">
        <f t="shared" si="0"/>
        <v>2.4</v>
      </c>
      <c r="S1" s="5">
        <f t="shared" si="0"/>
        <v>2.6</v>
      </c>
      <c r="T1" s="5">
        <f t="shared" si="0"/>
        <v>2.8</v>
      </c>
      <c r="U1" s="5">
        <f t="shared" si="0"/>
        <v>3</v>
      </c>
      <c r="V1" s="5">
        <f t="shared" si="0"/>
        <v>3.2</v>
      </c>
      <c r="W1" s="5">
        <f t="shared" si="0"/>
        <v>3.4</v>
      </c>
      <c r="X1" s="5">
        <f t="shared" si="0"/>
        <v>3.6</v>
      </c>
      <c r="Y1" s="5">
        <f t="shared" si="0"/>
        <v>3.8</v>
      </c>
      <c r="Z1" s="5">
        <f t="shared" si="0"/>
        <v>4</v>
      </c>
      <c r="AA1" s="5">
        <f t="shared" si="0"/>
        <v>4.2</v>
      </c>
      <c r="AB1" s="5">
        <f t="shared" si="0"/>
        <v>4.4000000000000004</v>
      </c>
      <c r="AC1" s="5">
        <f t="shared" si="0"/>
        <v>4.5999999999999996</v>
      </c>
      <c r="AD1" s="5">
        <f t="shared" si="0"/>
        <v>4.8</v>
      </c>
      <c r="AE1" s="5">
        <f t="shared" si="0"/>
        <v>5</v>
      </c>
      <c r="AF1" s="5">
        <f t="shared" si="0"/>
        <v>5.2</v>
      </c>
      <c r="AG1" s="5">
        <f t="shared" si="0"/>
        <v>5.4</v>
      </c>
      <c r="AH1" s="5">
        <f t="shared" si="0"/>
        <v>5.6</v>
      </c>
      <c r="AI1" s="5">
        <f t="shared" si="0"/>
        <v>5.8</v>
      </c>
      <c r="AJ1" s="5">
        <f t="shared" si="0"/>
        <v>6</v>
      </c>
    </row>
    <row r="2" spans="1:70" ht="17" thickBot="1" x14ac:dyDescent="0.25">
      <c r="A2" s="20" t="s">
        <v>27</v>
      </c>
      <c r="E2" s="11" t="s">
        <v>0</v>
      </c>
      <c r="F2" s="11" t="s">
        <v>1</v>
      </c>
      <c r="G2" s="10">
        <v>1</v>
      </c>
      <c r="H2" s="10">
        <v>2</v>
      </c>
      <c r="I2" s="10">
        <v>3</v>
      </c>
      <c r="J2" s="10">
        <v>4</v>
      </c>
      <c r="K2" s="10">
        <v>5</v>
      </c>
      <c r="L2" s="10">
        <v>6</v>
      </c>
      <c r="M2" s="10">
        <v>7</v>
      </c>
      <c r="N2" s="10">
        <v>8</v>
      </c>
      <c r="O2" s="10">
        <v>9</v>
      </c>
      <c r="P2" s="10">
        <v>10</v>
      </c>
      <c r="Q2" s="10">
        <v>11</v>
      </c>
      <c r="R2" s="10">
        <v>12</v>
      </c>
      <c r="S2" s="10">
        <v>13</v>
      </c>
      <c r="T2" s="10">
        <v>14</v>
      </c>
      <c r="U2" s="10">
        <v>15</v>
      </c>
      <c r="V2" s="10">
        <v>16</v>
      </c>
      <c r="W2" s="10">
        <v>17</v>
      </c>
      <c r="X2" s="10">
        <v>18</v>
      </c>
      <c r="Y2" s="10">
        <v>19</v>
      </c>
      <c r="Z2" s="10">
        <v>20</v>
      </c>
      <c r="AA2" s="10">
        <v>21</v>
      </c>
      <c r="AB2" s="10">
        <v>22</v>
      </c>
      <c r="AC2" s="10">
        <v>23</v>
      </c>
      <c r="AD2" s="10">
        <v>24</v>
      </c>
      <c r="AE2" s="10">
        <v>25</v>
      </c>
      <c r="AF2" s="10">
        <v>26</v>
      </c>
      <c r="AG2" s="10">
        <v>27</v>
      </c>
      <c r="AH2" s="10">
        <v>28</v>
      </c>
      <c r="AI2" s="10">
        <v>29</v>
      </c>
      <c r="AJ2" s="10">
        <v>30</v>
      </c>
      <c r="AL2" t="s">
        <v>2</v>
      </c>
      <c r="AM2" s="7">
        <f>'Inputs and Outputs'!B2</f>
        <v>5</v>
      </c>
      <c r="AP2" s="2"/>
    </row>
    <row r="3" spans="1:70" x14ac:dyDescent="0.2">
      <c r="A3" t="s">
        <v>28</v>
      </c>
      <c r="B3" s="22"/>
      <c r="E3" s="21">
        <v>3</v>
      </c>
      <c r="F3" s="3" t="s">
        <v>32</v>
      </c>
      <c r="G3" s="9">
        <f>'Inputs and Outputs'!E5</f>
        <v>1</v>
      </c>
      <c r="H3" s="9">
        <f>'Inputs and Outputs'!F5</f>
        <v>0</v>
      </c>
      <c r="I3" s="9">
        <f>'Inputs and Outputs'!G5</f>
        <v>1</v>
      </c>
      <c r="J3" s="9">
        <f>'Inputs and Outputs'!H5</f>
        <v>0</v>
      </c>
      <c r="K3" s="9">
        <f>'Inputs and Outputs'!I5</f>
        <v>0</v>
      </c>
      <c r="L3" s="9">
        <f>'Inputs and Outputs'!J5</f>
        <v>0</v>
      </c>
      <c r="M3" s="9">
        <f>'Inputs and Outputs'!K5</f>
        <v>1</v>
      </c>
      <c r="N3" s="9">
        <f>'Inputs and Outputs'!L5</f>
        <v>1</v>
      </c>
      <c r="O3" s="9">
        <f>'Inputs and Outputs'!M5</f>
        <v>0</v>
      </c>
      <c r="P3" s="9">
        <f>'Inputs and Outputs'!N5</f>
        <v>0</v>
      </c>
      <c r="Q3" s="9">
        <f>'Inputs and Outputs'!O5</f>
        <v>0</v>
      </c>
      <c r="R3" s="9">
        <f>'Inputs and Outputs'!P5</f>
        <v>2</v>
      </c>
      <c r="S3" s="9">
        <f>'Inputs and Outputs'!Q5</f>
        <v>2</v>
      </c>
      <c r="T3" s="9">
        <f>'Inputs and Outputs'!R5</f>
        <v>0</v>
      </c>
      <c r="U3" s="9">
        <f>'Inputs and Outputs'!S5</f>
        <v>0</v>
      </c>
      <c r="V3" s="9">
        <f>'Inputs and Outputs'!T5</f>
        <v>1</v>
      </c>
      <c r="W3" s="9">
        <f>'Inputs and Outputs'!U5</f>
        <v>1</v>
      </c>
      <c r="X3" s="9">
        <f>'Inputs and Outputs'!V5</f>
        <v>1</v>
      </c>
      <c r="Y3" s="9">
        <f>'Inputs and Outputs'!W5</f>
        <v>0</v>
      </c>
      <c r="Z3" s="9">
        <f>'Inputs and Outputs'!X5</f>
        <v>0</v>
      </c>
      <c r="AA3" s="9">
        <f>'Inputs and Outputs'!Y5</f>
        <v>1</v>
      </c>
      <c r="AB3" s="9">
        <f>'Inputs and Outputs'!Z5</f>
        <v>2</v>
      </c>
      <c r="AC3" s="9">
        <f>'Inputs and Outputs'!AA5</f>
        <v>2</v>
      </c>
      <c r="AD3" s="9">
        <f>'Inputs and Outputs'!AB5</f>
        <v>0</v>
      </c>
      <c r="AE3" s="9">
        <f>'Inputs and Outputs'!AC5</f>
        <v>0</v>
      </c>
      <c r="AF3" s="9">
        <f>'Inputs and Outputs'!AD5</f>
        <v>0</v>
      </c>
      <c r="AG3" s="9">
        <f>'Inputs and Outputs'!AE5</f>
        <v>2</v>
      </c>
      <c r="AH3" s="9">
        <f>'Inputs and Outputs'!AF5</f>
        <v>2</v>
      </c>
      <c r="AI3" s="9">
        <f>'Inputs and Outputs'!AG5</f>
        <v>0</v>
      </c>
      <c r="AJ3" s="9">
        <f>'Inputs and Outputs'!AH5</f>
        <v>0</v>
      </c>
      <c r="BR3" s="3"/>
    </row>
    <row r="4" spans="1:70" x14ac:dyDescent="0.2">
      <c r="A4" t="s">
        <v>29</v>
      </c>
      <c r="B4" s="4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</row>
    <row r="5" spans="1:70" x14ac:dyDescent="0.2">
      <c r="A5" t="s">
        <v>30</v>
      </c>
      <c r="B5" s="23"/>
      <c r="G5" s="10">
        <v>1</v>
      </c>
      <c r="H5" s="10">
        <v>2</v>
      </c>
      <c r="I5" s="10">
        <v>3</v>
      </c>
      <c r="J5" s="10">
        <v>4</v>
      </c>
      <c r="K5" s="10">
        <v>5</v>
      </c>
      <c r="L5" s="10">
        <v>6</v>
      </c>
      <c r="M5" s="10">
        <v>7</v>
      </c>
      <c r="N5" s="10">
        <v>8</v>
      </c>
      <c r="O5" s="10">
        <v>9</v>
      </c>
      <c r="P5" s="10">
        <v>10</v>
      </c>
      <c r="Q5" s="10">
        <v>11</v>
      </c>
      <c r="R5" s="10">
        <v>12</v>
      </c>
      <c r="S5" s="10">
        <v>13</v>
      </c>
      <c r="T5" s="10">
        <v>14</v>
      </c>
      <c r="U5" s="10">
        <v>15</v>
      </c>
      <c r="V5" s="10">
        <v>16</v>
      </c>
      <c r="W5" s="10">
        <v>17</v>
      </c>
      <c r="X5" s="10">
        <v>18</v>
      </c>
      <c r="Y5" s="10">
        <v>19</v>
      </c>
      <c r="Z5" s="10">
        <v>20</v>
      </c>
      <c r="AA5" s="10">
        <v>21</v>
      </c>
      <c r="AB5" s="10">
        <v>22</v>
      </c>
      <c r="AC5" s="10">
        <v>23</v>
      </c>
      <c r="AD5" s="10">
        <v>24</v>
      </c>
      <c r="AE5" s="10">
        <v>25</v>
      </c>
      <c r="AF5" s="10">
        <v>26</v>
      </c>
      <c r="AG5" s="10">
        <v>27</v>
      </c>
      <c r="AH5" s="10">
        <v>28</v>
      </c>
      <c r="AI5" s="10">
        <v>29</v>
      </c>
      <c r="AJ5" s="10">
        <v>30</v>
      </c>
      <c r="AK5" t="s">
        <v>21</v>
      </c>
    </row>
    <row r="6" spans="1:70" x14ac:dyDescent="0.2">
      <c r="F6" s="12" t="s">
        <v>14</v>
      </c>
      <c r="G6" s="13">
        <f>IF(AM2&gt;=1,1,0)</f>
        <v>1</v>
      </c>
      <c r="H6" s="13">
        <f t="shared" ref="H6:AJ6" si="1">IF(OR(G1=1,G1=2,G1=3,G1=4,G1=5,G1=6,G1=7,G1=8,G1=9,G1=10,G1=11,G1=12,G1=13,G1=14),1,0)</f>
        <v>0</v>
      </c>
      <c r="I6" s="13">
        <f t="shared" si="1"/>
        <v>0</v>
      </c>
      <c r="J6" s="13">
        <f t="shared" si="1"/>
        <v>0</v>
      </c>
      <c r="K6" s="13">
        <f t="shared" si="1"/>
        <v>0</v>
      </c>
      <c r="L6" s="13">
        <f t="shared" si="1"/>
        <v>1</v>
      </c>
      <c r="M6" s="13">
        <f t="shared" si="1"/>
        <v>0</v>
      </c>
      <c r="N6" s="13">
        <f t="shared" si="1"/>
        <v>0</v>
      </c>
      <c r="O6" s="13">
        <f t="shared" si="1"/>
        <v>0</v>
      </c>
      <c r="P6" s="13">
        <f t="shared" si="1"/>
        <v>0</v>
      </c>
      <c r="Q6" s="13">
        <f t="shared" si="1"/>
        <v>1</v>
      </c>
      <c r="R6" s="13">
        <f t="shared" si="1"/>
        <v>0</v>
      </c>
      <c r="S6" s="13">
        <f t="shared" si="1"/>
        <v>0</v>
      </c>
      <c r="T6" s="13">
        <f t="shared" si="1"/>
        <v>0</v>
      </c>
      <c r="U6" s="13">
        <f t="shared" si="1"/>
        <v>0</v>
      </c>
      <c r="V6" s="13">
        <f t="shared" si="1"/>
        <v>1</v>
      </c>
      <c r="W6" s="13">
        <f t="shared" si="1"/>
        <v>0</v>
      </c>
      <c r="X6" s="13">
        <f t="shared" si="1"/>
        <v>0</v>
      </c>
      <c r="Y6" s="13">
        <f t="shared" si="1"/>
        <v>0</v>
      </c>
      <c r="Z6" s="13">
        <f t="shared" si="1"/>
        <v>0</v>
      </c>
      <c r="AA6" s="13">
        <f t="shared" si="1"/>
        <v>1</v>
      </c>
      <c r="AB6" s="13">
        <f t="shared" si="1"/>
        <v>0</v>
      </c>
      <c r="AC6" s="13">
        <f t="shared" si="1"/>
        <v>0</v>
      </c>
      <c r="AD6" s="13">
        <f t="shared" si="1"/>
        <v>0</v>
      </c>
      <c r="AE6" s="13">
        <f t="shared" si="1"/>
        <v>0</v>
      </c>
      <c r="AF6" s="13">
        <f t="shared" si="1"/>
        <v>1</v>
      </c>
      <c r="AG6" s="13">
        <f t="shared" si="1"/>
        <v>0</v>
      </c>
      <c r="AH6" s="13">
        <f t="shared" si="1"/>
        <v>0</v>
      </c>
      <c r="AI6" s="13">
        <f t="shared" si="1"/>
        <v>0</v>
      </c>
      <c r="AJ6" s="13">
        <f t="shared" si="1"/>
        <v>0</v>
      </c>
      <c r="AL6" s="1">
        <f>SUM(G28:AH28)</f>
        <v>0</v>
      </c>
      <c r="AN6">
        <v>0</v>
      </c>
      <c r="AO6" s="18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</row>
    <row r="7" spans="1:70" x14ac:dyDescent="0.2">
      <c r="E7" t="s">
        <v>15</v>
      </c>
      <c r="F7" s="3" t="s">
        <v>32</v>
      </c>
      <c r="G7" s="4">
        <v>2</v>
      </c>
      <c r="H7" s="4">
        <v>0</v>
      </c>
      <c r="I7" s="4">
        <v>0</v>
      </c>
      <c r="J7" s="4">
        <v>0</v>
      </c>
      <c r="K7" s="4">
        <v>0</v>
      </c>
      <c r="L7" s="4">
        <v>2</v>
      </c>
      <c r="M7" s="4">
        <v>0</v>
      </c>
      <c r="N7" s="4">
        <v>0</v>
      </c>
      <c r="O7" s="4">
        <v>0</v>
      </c>
      <c r="P7" s="4">
        <v>0</v>
      </c>
      <c r="Q7" s="4">
        <v>4</v>
      </c>
      <c r="R7" s="4">
        <v>0</v>
      </c>
      <c r="S7" s="4">
        <v>0</v>
      </c>
      <c r="T7" s="4">
        <v>0</v>
      </c>
      <c r="U7" s="4">
        <v>0</v>
      </c>
      <c r="V7" s="4">
        <v>3</v>
      </c>
      <c r="W7" s="4">
        <v>0</v>
      </c>
      <c r="X7" s="4">
        <v>0</v>
      </c>
      <c r="Y7" s="4">
        <v>0</v>
      </c>
      <c r="Z7" s="4">
        <v>0</v>
      </c>
      <c r="AA7" s="4">
        <v>5</v>
      </c>
      <c r="AB7" s="4">
        <v>0</v>
      </c>
      <c r="AC7" s="4">
        <v>0</v>
      </c>
      <c r="AD7" s="4">
        <v>0</v>
      </c>
      <c r="AE7" s="4">
        <v>0</v>
      </c>
      <c r="AF7" s="4">
        <v>4</v>
      </c>
      <c r="AG7" s="4">
        <v>0</v>
      </c>
      <c r="AH7" s="4">
        <v>0</v>
      </c>
      <c r="AI7" s="4">
        <v>0</v>
      </c>
      <c r="AJ7" s="4">
        <v>0</v>
      </c>
      <c r="AK7">
        <f>SUMPRODUCT($G$6:$AJ$6,G7:AJ7)</f>
        <v>20</v>
      </c>
      <c r="AL7" s="6" t="s">
        <v>16</v>
      </c>
      <c r="AM7">
        <f>SUM(G3:AJ3)</f>
        <v>20</v>
      </c>
    </row>
    <row r="8" spans="1:70" x14ac:dyDescent="0.2">
      <c r="A8" s="11" t="s">
        <v>1</v>
      </c>
      <c r="B8" t="s">
        <v>4</v>
      </c>
      <c r="C8" t="s">
        <v>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</row>
    <row r="9" spans="1:70" x14ac:dyDescent="0.2">
      <c r="A9" s="16" t="s">
        <v>6</v>
      </c>
      <c r="B9" s="17">
        <v>1.25</v>
      </c>
      <c r="C9" s="18">
        <v>1</v>
      </c>
    </row>
    <row r="10" spans="1:70" x14ac:dyDescent="0.2">
      <c r="A10" s="16" t="s">
        <v>7</v>
      </c>
      <c r="B10" s="17">
        <v>5.99</v>
      </c>
      <c r="C10" s="18">
        <v>2</v>
      </c>
      <c r="F10" s="2" t="s">
        <v>20</v>
      </c>
      <c r="G10" s="2">
        <v>1</v>
      </c>
      <c r="H10" s="2">
        <v>2</v>
      </c>
      <c r="I10" s="2">
        <v>3</v>
      </c>
      <c r="J10" s="2">
        <v>4</v>
      </c>
      <c r="K10" s="2">
        <v>5</v>
      </c>
      <c r="L10" s="2">
        <v>6</v>
      </c>
      <c r="M10" s="2">
        <v>7</v>
      </c>
      <c r="N10" s="2">
        <v>8</v>
      </c>
      <c r="O10" s="2">
        <v>9</v>
      </c>
      <c r="P10" s="2">
        <v>10</v>
      </c>
      <c r="Q10" s="2">
        <v>11</v>
      </c>
      <c r="R10" s="2">
        <v>12</v>
      </c>
      <c r="S10" s="2">
        <v>13</v>
      </c>
      <c r="T10" s="2">
        <v>14</v>
      </c>
      <c r="U10" s="2">
        <v>15</v>
      </c>
      <c r="V10" s="2">
        <v>16</v>
      </c>
      <c r="W10" s="2">
        <v>17</v>
      </c>
      <c r="X10" s="2">
        <v>18</v>
      </c>
      <c r="Y10" s="2">
        <v>19</v>
      </c>
      <c r="Z10" s="2">
        <v>20</v>
      </c>
      <c r="AA10" s="2">
        <v>21</v>
      </c>
      <c r="AB10" s="2">
        <v>22</v>
      </c>
      <c r="AC10" s="2">
        <v>23</v>
      </c>
      <c r="AD10" s="2">
        <v>24</v>
      </c>
      <c r="AE10" s="2">
        <v>25</v>
      </c>
      <c r="AF10" s="2">
        <v>26</v>
      </c>
      <c r="AG10" s="2">
        <v>27</v>
      </c>
      <c r="AH10" s="2">
        <v>28</v>
      </c>
      <c r="AI10" s="2">
        <v>29</v>
      </c>
      <c r="AJ10" s="2">
        <v>30</v>
      </c>
    </row>
    <row r="11" spans="1:70" x14ac:dyDescent="0.2">
      <c r="A11" s="16" t="s">
        <v>8</v>
      </c>
      <c r="B11" s="17">
        <v>0.27</v>
      </c>
      <c r="C11" s="18">
        <v>1</v>
      </c>
      <c r="F11" s="3" t="s">
        <v>32</v>
      </c>
      <c r="G11">
        <v>0</v>
      </c>
      <c r="H11">
        <f t="shared" ref="H11:AJ11" si="2">IF(H15=0,0,IF(H19&gt;G19,G19-H3,IF(G11&gt;0,G11-1,0)))</f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0</v>
      </c>
      <c r="M11">
        <f t="shared" si="2"/>
        <v>0</v>
      </c>
      <c r="N11">
        <f t="shared" si="2"/>
        <v>0</v>
      </c>
      <c r="O11">
        <f t="shared" si="2"/>
        <v>0</v>
      </c>
      <c r="P11">
        <f t="shared" si="2"/>
        <v>0</v>
      </c>
      <c r="Q11">
        <f t="shared" si="2"/>
        <v>0</v>
      </c>
      <c r="R11">
        <f t="shared" si="2"/>
        <v>0</v>
      </c>
      <c r="S11">
        <f t="shared" si="2"/>
        <v>0</v>
      </c>
      <c r="T11">
        <f t="shared" si="2"/>
        <v>0</v>
      </c>
      <c r="U11">
        <f t="shared" si="2"/>
        <v>0</v>
      </c>
      <c r="V11">
        <f t="shared" si="2"/>
        <v>-1</v>
      </c>
      <c r="W11">
        <f t="shared" si="2"/>
        <v>0</v>
      </c>
      <c r="X11">
        <f t="shared" si="2"/>
        <v>0</v>
      </c>
      <c r="Y11">
        <f t="shared" si="2"/>
        <v>0</v>
      </c>
      <c r="Z11">
        <f t="shared" si="2"/>
        <v>0</v>
      </c>
      <c r="AA11">
        <f t="shared" si="2"/>
        <v>-1</v>
      </c>
      <c r="AB11">
        <f t="shared" si="2"/>
        <v>0</v>
      </c>
      <c r="AC11">
        <f t="shared" si="2"/>
        <v>0</v>
      </c>
      <c r="AD11">
        <f t="shared" si="2"/>
        <v>0</v>
      </c>
      <c r="AE11">
        <f t="shared" si="2"/>
        <v>0</v>
      </c>
      <c r="AF11">
        <f t="shared" si="2"/>
        <v>0</v>
      </c>
      <c r="AG11">
        <f t="shared" si="2"/>
        <v>0</v>
      </c>
      <c r="AH11">
        <f t="shared" si="2"/>
        <v>0</v>
      </c>
      <c r="AI11">
        <f t="shared" si="2"/>
        <v>0</v>
      </c>
      <c r="AJ11">
        <f t="shared" si="2"/>
        <v>0</v>
      </c>
    </row>
    <row r="12" spans="1:70" x14ac:dyDescent="0.2">
      <c r="A12" s="16" t="s">
        <v>9</v>
      </c>
      <c r="B12" s="17">
        <v>3.49</v>
      </c>
      <c r="C12" s="18">
        <v>6</v>
      </c>
      <c r="G12" s="14">
        <v>1</v>
      </c>
      <c r="H12" s="14">
        <v>2</v>
      </c>
      <c r="I12" s="14">
        <v>3</v>
      </c>
      <c r="J12" s="14">
        <v>4</v>
      </c>
      <c r="K12" s="14">
        <v>5</v>
      </c>
      <c r="L12" s="14">
        <v>6</v>
      </c>
      <c r="M12" s="14">
        <v>7</v>
      </c>
      <c r="N12" s="14">
        <v>8</v>
      </c>
      <c r="O12" s="14">
        <v>9</v>
      </c>
      <c r="P12" s="14">
        <v>10</v>
      </c>
      <c r="Q12" s="14">
        <v>11</v>
      </c>
      <c r="R12" s="14">
        <v>12</v>
      </c>
      <c r="S12" s="14">
        <v>13</v>
      </c>
      <c r="T12" s="14">
        <v>14</v>
      </c>
      <c r="U12" s="14">
        <v>15</v>
      </c>
      <c r="V12" s="14">
        <v>16</v>
      </c>
      <c r="W12" s="14">
        <v>17</v>
      </c>
      <c r="X12" s="14">
        <v>18</v>
      </c>
      <c r="Y12" s="14">
        <v>19</v>
      </c>
      <c r="Z12" s="14">
        <v>20</v>
      </c>
      <c r="AA12" s="14">
        <v>21</v>
      </c>
      <c r="AB12" s="14">
        <v>22</v>
      </c>
      <c r="AC12" s="14">
        <v>23</v>
      </c>
      <c r="AD12" s="14">
        <v>24</v>
      </c>
      <c r="AE12" s="14">
        <v>25</v>
      </c>
      <c r="AF12" s="14">
        <v>26</v>
      </c>
      <c r="AG12" s="14">
        <v>27</v>
      </c>
      <c r="AH12" s="14">
        <v>28</v>
      </c>
      <c r="AI12" s="14">
        <v>29</v>
      </c>
      <c r="AJ12" s="14">
        <v>30</v>
      </c>
    </row>
    <row r="13" spans="1:70" x14ac:dyDescent="0.2">
      <c r="A13" s="16" t="s">
        <v>10</v>
      </c>
      <c r="B13" s="17">
        <v>4.99</v>
      </c>
      <c r="C13" s="18">
        <v>5</v>
      </c>
      <c r="H13">
        <f t="shared" ref="H13:AJ13" ca="1" si="3">IF(H6=1,SUM(OFFSET(H3,0,0,1,$AM$2)),0)</f>
        <v>0</v>
      </c>
      <c r="I13">
        <f t="shared" ca="1" si="3"/>
        <v>0</v>
      </c>
      <c r="J13">
        <f t="shared" ca="1" si="3"/>
        <v>0</v>
      </c>
      <c r="K13">
        <f t="shared" ca="1" si="3"/>
        <v>0</v>
      </c>
      <c r="L13">
        <f t="shared" ca="1" si="3"/>
        <v>2</v>
      </c>
      <c r="M13">
        <f t="shared" ca="1" si="3"/>
        <v>0</v>
      </c>
      <c r="N13">
        <f t="shared" ca="1" si="3"/>
        <v>0</v>
      </c>
      <c r="O13">
        <f t="shared" ca="1" si="3"/>
        <v>0</v>
      </c>
      <c r="P13">
        <f t="shared" ca="1" si="3"/>
        <v>0</v>
      </c>
      <c r="Q13">
        <f t="shared" ca="1" si="3"/>
        <v>4</v>
      </c>
      <c r="R13">
        <f t="shared" ca="1" si="3"/>
        <v>0</v>
      </c>
      <c r="S13">
        <f t="shared" ca="1" si="3"/>
        <v>0</v>
      </c>
      <c r="T13">
        <f t="shared" ca="1" si="3"/>
        <v>0</v>
      </c>
      <c r="U13">
        <f t="shared" ca="1" si="3"/>
        <v>0</v>
      </c>
      <c r="V13">
        <f t="shared" ca="1" si="3"/>
        <v>3</v>
      </c>
      <c r="W13">
        <f t="shared" ca="1" si="3"/>
        <v>0</v>
      </c>
      <c r="X13">
        <f t="shared" ca="1" si="3"/>
        <v>0</v>
      </c>
      <c r="Y13">
        <f t="shared" ca="1" si="3"/>
        <v>0</v>
      </c>
      <c r="Z13">
        <f t="shared" ca="1" si="3"/>
        <v>0</v>
      </c>
      <c r="AA13">
        <f t="shared" ca="1" si="3"/>
        <v>5</v>
      </c>
      <c r="AB13">
        <f t="shared" ca="1" si="3"/>
        <v>0</v>
      </c>
      <c r="AC13">
        <f t="shared" ca="1" si="3"/>
        <v>0</v>
      </c>
      <c r="AD13">
        <f t="shared" ca="1" si="3"/>
        <v>0</v>
      </c>
      <c r="AE13">
        <f t="shared" ca="1" si="3"/>
        <v>0</v>
      </c>
      <c r="AF13">
        <f t="shared" ca="1" si="3"/>
        <v>4</v>
      </c>
      <c r="AG13">
        <f t="shared" ca="1" si="3"/>
        <v>0</v>
      </c>
      <c r="AH13">
        <f t="shared" ca="1" si="3"/>
        <v>0</v>
      </c>
      <c r="AI13">
        <f t="shared" ca="1" si="3"/>
        <v>0</v>
      </c>
      <c r="AJ13">
        <f t="shared" ca="1" si="3"/>
        <v>0</v>
      </c>
    </row>
    <row r="14" spans="1:70" x14ac:dyDescent="0.2">
      <c r="A14" s="16" t="s">
        <v>11</v>
      </c>
      <c r="B14" s="17">
        <v>4.99</v>
      </c>
      <c r="C14" s="18">
        <v>6</v>
      </c>
      <c r="F14" s="19" t="s">
        <v>22</v>
      </c>
      <c r="G14" s="2">
        <v>1</v>
      </c>
      <c r="H14" s="2">
        <v>2</v>
      </c>
      <c r="I14" s="2">
        <v>3</v>
      </c>
      <c r="J14" s="2">
        <v>4</v>
      </c>
      <c r="K14" s="2">
        <v>5</v>
      </c>
      <c r="L14" s="2">
        <v>6</v>
      </c>
      <c r="M14" s="2">
        <v>7</v>
      </c>
      <c r="N14" s="2">
        <v>8</v>
      </c>
      <c r="O14" s="2">
        <v>9</v>
      </c>
      <c r="P14" s="2">
        <v>10</v>
      </c>
      <c r="Q14" s="2">
        <v>11</v>
      </c>
      <c r="R14" s="2">
        <v>12</v>
      </c>
      <c r="S14" s="2">
        <v>13</v>
      </c>
      <c r="T14" s="2">
        <v>14</v>
      </c>
      <c r="U14" s="2">
        <v>15</v>
      </c>
      <c r="V14" s="2">
        <v>16</v>
      </c>
      <c r="W14" s="2">
        <v>17</v>
      </c>
      <c r="X14" s="2">
        <v>18</v>
      </c>
      <c r="Y14" s="2">
        <v>19</v>
      </c>
      <c r="Z14" s="2">
        <v>20</v>
      </c>
      <c r="AA14" s="2">
        <v>21</v>
      </c>
      <c r="AB14" s="2">
        <v>22</v>
      </c>
      <c r="AC14" s="2">
        <v>23</v>
      </c>
      <c r="AD14" s="2">
        <v>24</v>
      </c>
      <c r="AE14" s="2">
        <v>25</v>
      </c>
      <c r="AF14" s="2">
        <v>26</v>
      </c>
      <c r="AG14" s="2">
        <v>27</v>
      </c>
      <c r="AH14" s="2">
        <v>28</v>
      </c>
      <c r="AI14" s="2">
        <v>29</v>
      </c>
      <c r="AJ14" s="2">
        <v>30</v>
      </c>
    </row>
    <row r="15" spans="1:70" x14ac:dyDescent="0.2">
      <c r="A15" s="16" t="s">
        <v>12</v>
      </c>
      <c r="B15" s="17">
        <v>0.9</v>
      </c>
      <c r="C15" s="18">
        <v>1</v>
      </c>
      <c r="F15" s="3" t="s">
        <v>32</v>
      </c>
      <c r="G15">
        <v>0</v>
      </c>
      <c r="H15">
        <f t="shared" ref="H15:AJ15" si="4">IF(AND(H7&gt;0,G19-H3&gt;0),G22-1,G15-1)</f>
        <v>-1</v>
      </c>
      <c r="I15">
        <f t="shared" si="4"/>
        <v>-2</v>
      </c>
      <c r="J15">
        <f t="shared" si="4"/>
        <v>-3</v>
      </c>
      <c r="K15">
        <f t="shared" si="4"/>
        <v>-4</v>
      </c>
      <c r="L15">
        <f t="shared" si="4"/>
        <v>-5</v>
      </c>
      <c r="M15">
        <f t="shared" si="4"/>
        <v>-6</v>
      </c>
      <c r="N15">
        <f t="shared" si="4"/>
        <v>-7</v>
      </c>
      <c r="O15">
        <f t="shared" si="4"/>
        <v>-8</v>
      </c>
      <c r="P15">
        <f t="shared" si="4"/>
        <v>-9</v>
      </c>
      <c r="Q15">
        <f t="shared" si="4"/>
        <v>-10</v>
      </c>
      <c r="R15">
        <f t="shared" si="4"/>
        <v>-11</v>
      </c>
      <c r="S15">
        <f t="shared" si="4"/>
        <v>-12</v>
      </c>
      <c r="T15">
        <f t="shared" si="4"/>
        <v>-13</v>
      </c>
      <c r="U15">
        <f t="shared" si="4"/>
        <v>-14</v>
      </c>
      <c r="V15">
        <f t="shared" si="4"/>
        <v>-15</v>
      </c>
      <c r="W15">
        <f t="shared" si="4"/>
        <v>-16</v>
      </c>
      <c r="X15">
        <f t="shared" si="4"/>
        <v>-17</v>
      </c>
      <c r="Y15">
        <f t="shared" si="4"/>
        <v>-18</v>
      </c>
      <c r="Z15">
        <f t="shared" si="4"/>
        <v>-19</v>
      </c>
      <c r="AA15">
        <f t="shared" si="4"/>
        <v>-20</v>
      </c>
      <c r="AB15">
        <f t="shared" si="4"/>
        <v>-21</v>
      </c>
      <c r="AC15">
        <f t="shared" si="4"/>
        <v>-22</v>
      </c>
      <c r="AD15">
        <f t="shared" si="4"/>
        <v>-23</v>
      </c>
      <c r="AE15">
        <f t="shared" si="4"/>
        <v>-24</v>
      </c>
      <c r="AF15">
        <f t="shared" si="4"/>
        <v>-25</v>
      </c>
      <c r="AG15">
        <f t="shared" si="4"/>
        <v>-26</v>
      </c>
      <c r="AH15">
        <f t="shared" si="4"/>
        <v>-27</v>
      </c>
      <c r="AI15">
        <f t="shared" si="4"/>
        <v>-28</v>
      </c>
      <c r="AJ15">
        <f t="shared" si="4"/>
        <v>-29</v>
      </c>
    </row>
    <row r="16" spans="1:70" x14ac:dyDescent="0.2">
      <c r="A16" s="16" t="s">
        <v>13</v>
      </c>
      <c r="B16" s="17">
        <v>2.4900000000000002</v>
      </c>
      <c r="C16" s="18">
        <v>5</v>
      </c>
      <c r="F16" s="3"/>
    </row>
    <row r="17" spans="5:70" x14ac:dyDescent="0.2">
      <c r="F17" s="15" t="s">
        <v>17</v>
      </c>
    </row>
    <row r="18" spans="5:70" x14ac:dyDescent="0.2">
      <c r="F18" s="10" t="s">
        <v>18</v>
      </c>
      <c r="G18" s="2">
        <v>1</v>
      </c>
      <c r="H18" s="2">
        <v>2</v>
      </c>
      <c r="I18" s="2">
        <v>3</v>
      </c>
      <c r="J18" s="2">
        <v>4</v>
      </c>
      <c r="K18" s="2">
        <v>5</v>
      </c>
      <c r="L18" s="2">
        <v>6</v>
      </c>
      <c r="M18" s="2">
        <v>7</v>
      </c>
      <c r="N18" s="2">
        <v>8</v>
      </c>
      <c r="O18" s="2">
        <v>9</v>
      </c>
      <c r="P18" s="2">
        <v>10</v>
      </c>
      <c r="Q18" s="2">
        <v>11</v>
      </c>
      <c r="R18" s="2">
        <v>12</v>
      </c>
      <c r="S18" s="2">
        <v>13</v>
      </c>
      <c r="T18" s="2">
        <v>14</v>
      </c>
      <c r="U18" s="2">
        <v>15</v>
      </c>
      <c r="V18" s="2">
        <v>16</v>
      </c>
      <c r="W18" s="2">
        <v>17</v>
      </c>
      <c r="X18" s="2">
        <v>18</v>
      </c>
      <c r="Y18" s="2">
        <v>19</v>
      </c>
      <c r="Z18" s="2">
        <v>20</v>
      </c>
      <c r="AA18" s="2">
        <v>21</v>
      </c>
      <c r="AB18" s="2">
        <v>22</v>
      </c>
      <c r="AC18" s="2">
        <v>23</v>
      </c>
      <c r="AD18" s="2">
        <v>24</v>
      </c>
      <c r="AE18" s="2">
        <v>25</v>
      </c>
      <c r="AF18" s="2">
        <v>26</v>
      </c>
      <c r="AG18" s="2">
        <v>27</v>
      </c>
      <c r="AH18" s="2">
        <v>28</v>
      </c>
      <c r="AI18" s="2">
        <v>29</v>
      </c>
      <c r="AJ18" s="2">
        <v>30</v>
      </c>
    </row>
    <row r="19" spans="5:70" x14ac:dyDescent="0.2">
      <c r="F19" s="3" t="s">
        <v>32</v>
      </c>
      <c r="G19">
        <f>G25-G3</f>
        <v>1</v>
      </c>
      <c r="H19">
        <f t="shared" ref="H19:AJ19" si="5">IF(H22=0,0-H3,G19+H25-H3)</f>
        <v>1</v>
      </c>
      <c r="I19">
        <f t="shared" si="5"/>
        <v>0</v>
      </c>
      <c r="J19">
        <f t="shared" si="5"/>
        <v>0</v>
      </c>
      <c r="K19">
        <f t="shared" si="5"/>
        <v>0</v>
      </c>
      <c r="L19">
        <f t="shared" si="5"/>
        <v>2</v>
      </c>
      <c r="M19">
        <f t="shared" si="5"/>
        <v>1</v>
      </c>
      <c r="N19">
        <f t="shared" si="5"/>
        <v>0</v>
      </c>
      <c r="O19">
        <f t="shared" si="5"/>
        <v>0</v>
      </c>
      <c r="P19">
        <f t="shared" si="5"/>
        <v>0</v>
      </c>
      <c r="Q19">
        <f t="shared" si="5"/>
        <v>4</v>
      </c>
      <c r="R19">
        <f t="shared" si="5"/>
        <v>2</v>
      </c>
      <c r="S19">
        <f t="shared" si="5"/>
        <v>0</v>
      </c>
      <c r="T19">
        <f t="shared" si="5"/>
        <v>0</v>
      </c>
      <c r="U19">
        <f t="shared" si="5"/>
        <v>0</v>
      </c>
      <c r="V19">
        <f t="shared" si="5"/>
        <v>2</v>
      </c>
      <c r="W19">
        <f t="shared" si="5"/>
        <v>1</v>
      </c>
      <c r="X19">
        <f t="shared" si="5"/>
        <v>0</v>
      </c>
      <c r="Y19">
        <f t="shared" si="5"/>
        <v>0</v>
      </c>
      <c r="Z19">
        <f t="shared" si="5"/>
        <v>0</v>
      </c>
      <c r="AA19">
        <f t="shared" si="5"/>
        <v>4</v>
      </c>
      <c r="AB19">
        <f t="shared" si="5"/>
        <v>2</v>
      </c>
      <c r="AC19">
        <f t="shared" si="5"/>
        <v>0</v>
      </c>
      <c r="AD19">
        <f t="shared" si="5"/>
        <v>0</v>
      </c>
      <c r="AE19">
        <f t="shared" si="5"/>
        <v>0</v>
      </c>
      <c r="AF19">
        <f t="shared" si="5"/>
        <v>4</v>
      </c>
      <c r="AG19">
        <f t="shared" si="5"/>
        <v>2</v>
      </c>
      <c r="AH19">
        <f t="shared" si="5"/>
        <v>0</v>
      </c>
      <c r="AI19">
        <f t="shared" si="5"/>
        <v>0</v>
      </c>
      <c r="AJ19">
        <f t="shared" si="5"/>
        <v>0</v>
      </c>
      <c r="BR19" s="3"/>
    </row>
    <row r="21" spans="5:70" x14ac:dyDescent="0.2">
      <c r="F21" s="10" t="s">
        <v>23</v>
      </c>
      <c r="G21" s="2">
        <v>1</v>
      </c>
      <c r="H21" s="2">
        <v>2</v>
      </c>
      <c r="I21" s="2">
        <v>3</v>
      </c>
      <c r="J21" s="2">
        <v>4</v>
      </c>
      <c r="K21" s="2">
        <v>5</v>
      </c>
      <c r="L21" s="2">
        <v>6</v>
      </c>
      <c r="M21" s="2">
        <v>7</v>
      </c>
      <c r="N21" s="2">
        <v>8</v>
      </c>
      <c r="O21" s="2">
        <v>9</v>
      </c>
      <c r="P21" s="2">
        <v>10</v>
      </c>
      <c r="Q21" s="2">
        <v>11</v>
      </c>
      <c r="R21" s="2">
        <v>12</v>
      </c>
      <c r="S21" s="2">
        <v>13</v>
      </c>
      <c r="T21" s="2">
        <v>14</v>
      </c>
      <c r="U21" s="2">
        <v>15</v>
      </c>
      <c r="V21" s="2">
        <v>16</v>
      </c>
      <c r="W21" s="2">
        <v>17</v>
      </c>
      <c r="X21" s="2">
        <v>18</v>
      </c>
      <c r="Y21" s="2">
        <v>19</v>
      </c>
      <c r="Z21" s="2">
        <v>20</v>
      </c>
      <c r="AA21" s="2">
        <v>21</v>
      </c>
      <c r="AB21" s="2">
        <v>22</v>
      </c>
      <c r="AC21" s="2">
        <v>23</v>
      </c>
      <c r="AD21" s="2">
        <v>24</v>
      </c>
      <c r="AE21" s="2">
        <v>25</v>
      </c>
      <c r="AF21" s="2">
        <v>26</v>
      </c>
      <c r="AG21" s="2">
        <v>27</v>
      </c>
      <c r="AH21" s="2">
        <v>28</v>
      </c>
      <c r="AI21" s="2">
        <v>29</v>
      </c>
      <c r="AJ21" s="2">
        <v>30</v>
      </c>
    </row>
    <row r="22" spans="5:70" x14ac:dyDescent="0.2">
      <c r="F22" s="3" t="s">
        <v>32</v>
      </c>
      <c r="G22">
        <f>IF(G7&gt;0,E3,0)</f>
        <v>3</v>
      </c>
      <c r="H22">
        <f t="shared" ref="H22:AJ22" si="6">IF(H7=0,G22-1,$E3)</f>
        <v>2</v>
      </c>
      <c r="I22">
        <f t="shared" si="6"/>
        <v>1</v>
      </c>
      <c r="J22">
        <f t="shared" si="6"/>
        <v>0</v>
      </c>
      <c r="K22">
        <f t="shared" si="6"/>
        <v>-1</v>
      </c>
      <c r="L22">
        <f t="shared" si="6"/>
        <v>3</v>
      </c>
      <c r="M22">
        <f t="shared" si="6"/>
        <v>2</v>
      </c>
      <c r="N22">
        <f t="shared" si="6"/>
        <v>1</v>
      </c>
      <c r="O22">
        <f t="shared" si="6"/>
        <v>0</v>
      </c>
      <c r="P22">
        <f t="shared" si="6"/>
        <v>-1</v>
      </c>
      <c r="Q22">
        <f t="shared" si="6"/>
        <v>3</v>
      </c>
      <c r="R22">
        <f t="shared" si="6"/>
        <v>2</v>
      </c>
      <c r="S22">
        <f t="shared" si="6"/>
        <v>1</v>
      </c>
      <c r="T22">
        <f t="shared" si="6"/>
        <v>0</v>
      </c>
      <c r="U22">
        <f t="shared" si="6"/>
        <v>-1</v>
      </c>
      <c r="V22">
        <f t="shared" si="6"/>
        <v>3</v>
      </c>
      <c r="W22">
        <f t="shared" si="6"/>
        <v>2</v>
      </c>
      <c r="X22">
        <f t="shared" si="6"/>
        <v>1</v>
      </c>
      <c r="Y22">
        <f t="shared" si="6"/>
        <v>0</v>
      </c>
      <c r="Z22">
        <f t="shared" si="6"/>
        <v>-1</v>
      </c>
      <c r="AA22">
        <f t="shared" si="6"/>
        <v>3</v>
      </c>
      <c r="AB22">
        <f t="shared" si="6"/>
        <v>2</v>
      </c>
      <c r="AC22">
        <f t="shared" si="6"/>
        <v>1</v>
      </c>
      <c r="AD22">
        <f t="shared" si="6"/>
        <v>0</v>
      </c>
      <c r="AE22">
        <f t="shared" si="6"/>
        <v>-1</v>
      </c>
      <c r="AF22">
        <f t="shared" si="6"/>
        <v>3</v>
      </c>
      <c r="AG22">
        <f t="shared" si="6"/>
        <v>2</v>
      </c>
      <c r="AH22">
        <f t="shared" si="6"/>
        <v>1</v>
      </c>
      <c r="AI22">
        <f t="shared" si="6"/>
        <v>0</v>
      </c>
      <c r="AJ22">
        <f t="shared" si="6"/>
        <v>-1</v>
      </c>
    </row>
    <row r="23" spans="5:70" x14ac:dyDescent="0.2">
      <c r="F23" s="3"/>
    </row>
    <row r="24" spans="5:70" x14ac:dyDescent="0.2">
      <c r="F24" s="10" t="s">
        <v>19</v>
      </c>
      <c r="G24" s="2">
        <v>1</v>
      </c>
      <c r="H24" s="2">
        <v>2</v>
      </c>
      <c r="I24" s="2">
        <v>3</v>
      </c>
      <c r="J24" s="2">
        <v>4</v>
      </c>
      <c r="K24" s="2">
        <v>5</v>
      </c>
      <c r="L24" s="2">
        <v>6</v>
      </c>
      <c r="M24" s="2">
        <v>7</v>
      </c>
      <c r="N24" s="2">
        <v>8</v>
      </c>
      <c r="O24" s="2">
        <v>9</v>
      </c>
      <c r="P24" s="2">
        <v>10</v>
      </c>
      <c r="Q24" s="2">
        <v>11</v>
      </c>
      <c r="R24" s="2">
        <v>12</v>
      </c>
      <c r="S24" s="2">
        <v>13</v>
      </c>
      <c r="T24" s="2">
        <v>14</v>
      </c>
      <c r="U24" s="2">
        <v>15</v>
      </c>
      <c r="V24" s="2">
        <v>16</v>
      </c>
      <c r="W24" s="2">
        <v>17</v>
      </c>
      <c r="X24" s="2">
        <v>18</v>
      </c>
      <c r="Y24" s="2">
        <v>19</v>
      </c>
      <c r="Z24" s="2">
        <v>20</v>
      </c>
      <c r="AA24" s="2">
        <v>21</v>
      </c>
      <c r="AB24" s="2">
        <v>22</v>
      </c>
      <c r="AC24" s="2">
        <v>23</v>
      </c>
      <c r="AD24" s="2">
        <v>24</v>
      </c>
      <c r="AE24" s="2">
        <v>25</v>
      </c>
      <c r="AF24" s="2">
        <v>26</v>
      </c>
      <c r="AG24" s="2">
        <v>27</v>
      </c>
      <c r="AH24" s="2">
        <v>28</v>
      </c>
      <c r="AI24" s="2">
        <v>29</v>
      </c>
      <c r="AJ24" s="2">
        <v>30</v>
      </c>
      <c r="BO24" s="14"/>
      <c r="BP24" s="14"/>
      <c r="BQ24" s="14"/>
      <c r="BR24" s="3"/>
    </row>
    <row r="25" spans="5:70" x14ac:dyDescent="0.2">
      <c r="F25" s="3" t="s">
        <v>32</v>
      </c>
      <c r="G25">
        <f t="shared" ref="G25:AJ25" si="7">G7*$C9</f>
        <v>2</v>
      </c>
      <c r="H25">
        <f t="shared" si="7"/>
        <v>0</v>
      </c>
      <c r="I25">
        <f t="shared" si="7"/>
        <v>0</v>
      </c>
      <c r="J25">
        <f t="shared" si="7"/>
        <v>0</v>
      </c>
      <c r="K25">
        <f t="shared" si="7"/>
        <v>0</v>
      </c>
      <c r="L25">
        <f t="shared" si="7"/>
        <v>2</v>
      </c>
      <c r="M25">
        <f t="shared" si="7"/>
        <v>0</v>
      </c>
      <c r="N25">
        <f t="shared" si="7"/>
        <v>0</v>
      </c>
      <c r="O25">
        <f t="shared" si="7"/>
        <v>0</v>
      </c>
      <c r="P25">
        <f t="shared" si="7"/>
        <v>0</v>
      </c>
      <c r="Q25">
        <f t="shared" si="7"/>
        <v>4</v>
      </c>
      <c r="R25">
        <f t="shared" si="7"/>
        <v>0</v>
      </c>
      <c r="S25">
        <f t="shared" si="7"/>
        <v>0</v>
      </c>
      <c r="T25">
        <f t="shared" si="7"/>
        <v>0</v>
      </c>
      <c r="U25">
        <f t="shared" si="7"/>
        <v>0</v>
      </c>
      <c r="V25">
        <f t="shared" si="7"/>
        <v>3</v>
      </c>
      <c r="W25">
        <f t="shared" si="7"/>
        <v>0</v>
      </c>
      <c r="X25">
        <f t="shared" si="7"/>
        <v>0</v>
      </c>
      <c r="Y25">
        <f t="shared" si="7"/>
        <v>0</v>
      </c>
      <c r="Z25">
        <f t="shared" si="7"/>
        <v>0</v>
      </c>
      <c r="AA25">
        <f t="shared" si="7"/>
        <v>5</v>
      </c>
      <c r="AB25">
        <f t="shared" si="7"/>
        <v>0</v>
      </c>
      <c r="AC25">
        <f t="shared" si="7"/>
        <v>0</v>
      </c>
      <c r="AD25">
        <f t="shared" si="7"/>
        <v>0</v>
      </c>
      <c r="AE25">
        <f t="shared" si="7"/>
        <v>0</v>
      </c>
      <c r="AF25">
        <f t="shared" si="7"/>
        <v>4</v>
      </c>
      <c r="AG25">
        <f t="shared" si="7"/>
        <v>0</v>
      </c>
      <c r="AH25">
        <f t="shared" si="7"/>
        <v>0</v>
      </c>
      <c r="AI25">
        <f t="shared" si="7"/>
        <v>0</v>
      </c>
      <c r="AJ25">
        <f t="shared" si="7"/>
        <v>0</v>
      </c>
      <c r="BR25" s="3"/>
    </row>
    <row r="26" spans="5:70" x14ac:dyDescent="0.2">
      <c r="F26" s="3"/>
      <c r="BR26" s="3"/>
    </row>
    <row r="27" spans="5:70" x14ac:dyDescent="0.2">
      <c r="F27" s="10" t="s">
        <v>24</v>
      </c>
      <c r="G27" s="2">
        <v>1</v>
      </c>
      <c r="H27" s="2">
        <v>2</v>
      </c>
      <c r="I27" s="2">
        <v>3</v>
      </c>
      <c r="J27" s="2">
        <v>4</v>
      </c>
      <c r="K27" s="2">
        <v>5</v>
      </c>
      <c r="L27" s="2">
        <v>6</v>
      </c>
      <c r="M27" s="2">
        <v>7</v>
      </c>
      <c r="N27" s="2">
        <v>8</v>
      </c>
      <c r="O27" s="2">
        <v>9</v>
      </c>
      <c r="P27" s="2">
        <v>10</v>
      </c>
      <c r="Q27" s="2">
        <v>11</v>
      </c>
      <c r="R27" s="2">
        <v>12</v>
      </c>
      <c r="S27" s="2">
        <v>13</v>
      </c>
      <c r="T27" s="2">
        <v>14</v>
      </c>
      <c r="U27" s="2">
        <v>15</v>
      </c>
      <c r="V27" s="2">
        <v>16</v>
      </c>
      <c r="W27" s="2">
        <v>17</v>
      </c>
      <c r="X27" s="2">
        <v>18</v>
      </c>
      <c r="Y27" s="2">
        <v>19</v>
      </c>
      <c r="Z27" s="2">
        <v>20</v>
      </c>
      <c r="AA27" s="2">
        <v>21</v>
      </c>
      <c r="AB27" s="2">
        <v>22</v>
      </c>
      <c r="AC27" s="2">
        <v>23</v>
      </c>
      <c r="AD27" s="2">
        <v>24</v>
      </c>
      <c r="AE27" s="2">
        <v>25</v>
      </c>
      <c r="AF27" s="2">
        <v>26</v>
      </c>
      <c r="AG27" s="2">
        <v>27</v>
      </c>
      <c r="AH27" s="2">
        <v>28</v>
      </c>
      <c r="AI27" s="2">
        <v>29</v>
      </c>
      <c r="AJ27" s="2">
        <v>30</v>
      </c>
      <c r="BR27" s="3"/>
    </row>
    <row r="28" spans="5:70" x14ac:dyDescent="0.2">
      <c r="F28" s="3" t="s">
        <v>32</v>
      </c>
      <c r="G28">
        <v>0</v>
      </c>
      <c r="H28">
        <f t="shared" ref="H28:AJ28" si="8">IF(H15=0,IF(H22=0, H19, IF(G11-H3&lt;0,0,G11-H3)),IF(H22=0,IF(G19-H3&lt;0,0,G19-H3),0))</f>
        <v>0</v>
      </c>
      <c r="I28">
        <f t="shared" si="8"/>
        <v>0</v>
      </c>
      <c r="J28">
        <f t="shared" si="8"/>
        <v>0</v>
      </c>
      <c r="K28">
        <f t="shared" si="8"/>
        <v>0</v>
      </c>
      <c r="L28">
        <f t="shared" si="8"/>
        <v>0</v>
      </c>
      <c r="M28">
        <f t="shared" si="8"/>
        <v>0</v>
      </c>
      <c r="N28">
        <f t="shared" si="8"/>
        <v>0</v>
      </c>
      <c r="O28">
        <f t="shared" si="8"/>
        <v>0</v>
      </c>
      <c r="P28">
        <f t="shared" si="8"/>
        <v>0</v>
      </c>
      <c r="Q28">
        <f t="shared" si="8"/>
        <v>0</v>
      </c>
      <c r="R28">
        <f t="shared" si="8"/>
        <v>0</v>
      </c>
      <c r="S28">
        <f t="shared" si="8"/>
        <v>0</v>
      </c>
      <c r="T28">
        <f t="shared" si="8"/>
        <v>0</v>
      </c>
      <c r="U28">
        <f t="shared" si="8"/>
        <v>0</v>
      </c>
      <c r="V28">
        <f t="shared" si="8"/>
        <v>0</v>
      </c>
      <c r="W28">
        <f t="shared" si="8"/>
        <v>0</v>
      </c>
      <c r="X28">
        <f t="shared" si="8"/>
        <v>0</v>
      </c>
      <c r="Y28">
        <f t="shared" si="8"/>
        <v>0</v>
      </c>
      <c r="Z28">
        <f t="shared" si="8"/>
        <v>0</v>
      </c>
      <c r="AA28">
        <f t="shared" si="8"/>
        <v>0</v>
      </c>
      <c r="AB28">
        <f t="shared" si="8"/>
        <v>0</v>
      </c>
      <c r="AC28">
        <f t="shared" si="8"/>
        <v>0</v>
      </c>
      <c r="AD28">
        <f t="shared" si="8"/>
        <v>0</v>
      </c>
      <c r="AE28">
        <f t="shared" si="8"/>
        <v>0</v>
      </c>
      <c r="AF28">
        <f t="shared" si="8"/>
        <v>0</v>
      </c>
      <c r="AG28">
        <f t="shared" si="8"/>
        <v>0</v>
      </c>
      <c r="AH28">
        <f t="shared" si="8"/>
        <v>0</v>
      </c>
      <c r="AI28">
        <f t="shared" si="8"/>
        <v>0</v>
      </c>
      <c r="AJ28">
        <f t="shared" si="8"/>
        <v>0</v>
      </c>
      <c r="BR28" s="3"/>
    </row>
    <row r="29" spans="5:70" x14ac:dyDescent="0.2">
      <c r="E29" s="3" t="s">
        <v>32</v>
      </c>
      <c r="F29">
        <v>1</v>
      </c>
      <c r="G29">
        <f>G$6</f>
        <v>1</v>
      </c>
      <c r="AK29">
        <f t="shared" ref="AK29:AK58" si="9">SUMPRODUCT($G$7:$AJ$7,G29:AJ29)</f>
        <v>2</v>
      </c>
      <c r="AL29" t="s">
        <v>16</v>
      </c>
      <c r="AM29">
        <f ca="1">IF(G6=1,SUM(OFFSET(G3,0,0,1,$AM$2)),0)</f>
        <v>2</v>
      </c>
      <c r="BR29" s="3"/>
    </row>
    <row r="30" spans="5:70" x14ac:dyDescent="0.2">
      <c r="F30">
        <v>2</v>
      </c>
      <c r="H30">
        <v>1</v>
      </c>
      <c r="AK30">
        <f t="shared" si="9"/>
        <v>0</v>
      </c>
      <c r="AL30" t="s">
        <v>16</v>
      </c>
      <c r="AM30">
        <f ca="1">H13</f>
        <v>0</v>
      </c>
      <c r="BR30" s="3"/>
    </row>
    <row r="31" spans="5:70" x14ac:dyDescent="0.2">
      <c r="F31">
        <v>3</v>
      </c>
      <c r="I31">
        <v>1</v>
      </c>
      <c r="AK31">
        <f t="shared" si="9"/>
        <v>0</v>
      </c>
      <c r="AL31" t="s">
        <v>16</v>
      </c>
      <c r="AM31">
        <f ca="1">I13</f>
        <v>0</v>
      </c>
      <c r="BR31" s="3"/>
    </row>
    <row r="32" spans="5:70" x14ac:dyDescent="0.2">
      <c r="F32">
        <v>4</v>
      </c>
      <c r="J32">
        <v>1</v>
      </c>
      <c r="AK32">
        <f t="shared" si="9"/>
        <v>0</v>
      </c>
      <c r="AL32" t="s">
        <v>16</v>
      </c>
      <c r="AM32">
        <f ca="1">J13</f>
        <v>0</v>
      </c>
      <c r="BR32" s="3"/>
    </row>
    <row r="33" spans="6:70" ht="15.5" x14ac:dyDescent="0.2">
      <c r="F33">
        <v>5</v>
      </c>
      <c r="K33">
        <v>1</v>
      </c>
      <c r="AK33">
        <f t="shared" si="9"/>
        <v>0</v>
      </c>
      <c r="AL33" t="s">
        <v>16</v>
      </c>
      <c r="AM33">
        <f ca="1">K13</f>
        <v>0</v>
      </c>
    </row>
    <row r="34" spans="6:70" ht="15.5" x14ac:dyDescent="0.2">
      <c r="F34">
        <v>6</v>
      </c>
      <c r="L34">
        <v>1</v>
      </c>
      <c r="AK34">
        <f t="shared" si="9"/>
        <v>2</v>
      </c>
      <c r="AL34" t="s">
        <v>16</v>
      </c>
      <c r="AM34">
        <f ca="1">L13</f>
        <v>2</v>
      </c>
    </row>
    <row r="35" spans="6:70" x14ac:dyDescent="0.2">
      <c r="F35">
        <v>7</v>
      </c>
      <c r="M35">
        <v>1</v>
      </c>
      <c r="AK35">
        <f t="shared" si="9"/>
        <v>0</v>
      </c>
      <c r="AL35" t="s">
        <v>16</v>
      </c>
      <c r="AM35">
        <f ca="1">M13</f>
        <v>0</v>
      </c>
      <c r="BR35" s="3"/>
    </row>
    <row r="36" spans="6:70" x14ac:dyDescent="0.2">
      <c r="F36">
        <v>8</v>
      </c>
      <c r="N36">
        <f>N$6</f>
        <v>0</v>
      </c>
      <c r="AK36">
        <f t="shared" si="9"/>
        <v>0</v>
      </c>
      <c r="AL36" t="s">
        <v>16</v>
      </c>
      <c r="AM36">
        <f ca="1">N13</f>
        <v>0</v>
      </c>
      <c r="BR36" s="3"/>
    </row>
    <row r="37" spans="6:70" x14ac:dyDescent="0.2">
      <c r="F37">
        <v>9</v>
      </c>
      <c r="O37">
        <v>1</v>
      </c>
      <c r="AK37">
        <f t="shared" si="9"/>
        <v>0</v>
      </c>
      <c r="AL37" t="s">
        <v>16</v>
      </c>
      <c r="AM37">
        <f ca="1">O13</f>
        <v>0</v>
      </c>
      <c r="BR37" s="3"/>
    </row>
    <row r="38" spans="6:70" x14ac:dyDescent="0.2">
      <c r="F38">
        <v>10</v>
      </c>
      <c r="P38">
        <v>1</v>
      </c>
      <c r="AK38">
        <f t="shared" si="9"/>
        <v>0</v>
      </c>
      <c r="AL38" t="s">
        <v>16</v>
      </c>
      <c r="AM38">
        <f ca="1">P13</f>
        <v>0</v>
      </c>
      <c r="BR38" s="3"/>
    </row>
    <row r="39" spans="6:70" x14ac:dyDescent="0.2">
      <c r="F39">
        <v>11</v>
      </c>
      <c r="Q39">
        <v>1</v>
      </c>
      <c r="AK39">
        <f t="shared" si="9"/>
        <v>4</v>
      </c>
      <c r="AL39" t="s">
        <v>16</v>
      </c>
      <c r="AM39">
        <f ca="1">Q13</f>
        <v>4</v>
      </c>
      <c r="BR39" s="3"/>
    </row>
    <row r="40" spans="6:70" x14ac:dyDescent="0.2">
      <c r="F40">
        <v>12</v>
      </c>
      <c r="R40">
        <v>1</v>
      </c>
      <c r="AK40">
        <f t="shared" si="9"/>
        <v>0</v>
      </c>
      <c r="AL40" t="s">
        <v>16</v>
      </c>
      <c r="AM40">
        <f ca="1">R13</f>
        <v>0</v>
      </c>
      <c r="BR40" s="3"/>
    </row>
    <row r="41" spans="6:70" x14ac:dyDescent="0.2">
      <c r="F41">
        <v>13</v>
      </c>
      <c r="S41">
        <v>1</v>
      </c>
      <c r="AK41">
        <f t="shared" si="9"/>
        <v>0</v>
      </c>
      <c r="AL41" t="s">
        <v>16</v>
      </c>
      <c r="AM41">
        <f ca="1">S13</f>
        <v>0</v>
      </c>
      <c r="BR41" s="3"/>
    </row>
    <row r="42" spans="6:70" ht="15.5" x14ac:dyDescent="0.2">
      <c r="F42">
        <v>14</v>
      </c>
      <c r="T42">
        <v>1</v>
      </c>
      <c r="AK42">
        <f t="shared" si="9"/>
        <v>0</v>
      </c>
      <c r="AL42" t="s">
        <v>16</v>
      </c>
      <c r="AM42">
        <f ca="1">T13</f>
        <v>0</v>
      </c>
    </row>
    <row r="43" spans="6:70" ht="15.5" x14ac:dyDescent="0.2">
      <c r="F43">
        <v>15</v>
      </c>
      <c r="U43">
        <f>U$6</f>
        <v>0</v>
      </c>
      <c r="AK43">
        <f t="shared" si="9"/>
        <v>0</v>
      </c>
      <c r="AL43" t="s">
        <v>16</v>
      </c>
      <c r="AM43">
        <f ca="1">U13</f>
        <v>0</v>
      </c>
    </row>
    <row r="44" spans="6:70" ht="15.5" x14ac:dyDescent="0.2">
      <c r="F44">
        <v>16</v>
      </c>
      <c r="V44">
        <v>1</v>
      </c>
      <c r="AK44">
        <f t="shared" si="9"/>
        <v>3</v>
      </c>
      <c r="AL44" t="s">
        <v>16</v>
      </c>
      <c r="AM44">
        <f ca="1">V13</f>
        <v>3</v>
      </c>
    </row>
    <row r="45" spans="6:70" x14ac:dyDescent="0.2">
      <c r="F45">
        <v>17</v>
      </c>
      <c r="W45">
        <v>1</v>
      </c>
      <c r="AK45">
        <f t="shared" si="9"/>
        <v>0</v>
      </c>
      <c r="AL45" t="s">
        <v>16</v>
      </c>
      <c r="AM45">
        <f ca="1">W13</f>
        <v>0</v>
      </c>
      <c r="BR45" s="3"/>
    </row>
    <row r="46" spans="6:70" x14ac:dyDescent="0.2">
      <c r="F46">
        <v>18</v>
      </c>
      <c r="X46">
        <v>1</v>
      </c>
      <c r="AK46">
        <f t="shared" si="9"/>
        <v>0</v>
      </c>
      <c r="AL46" t="s">
        <v>16</v>
      </c>
      <c r="AM46">
        <f ca="1">X13</f>
        <v>0</v>
      </c>
      <c r="BR46" s="3"/>
    </row>
    <row r="47" spans="6:70" x14ac:dyDescent="0.2">
      <c r="F47">
        <v>19</v>
      </c>
      <c r="Y47">
        <v>1</v>
      </c>
      <c r="AK47">
        <f t="shared" si="9"/>
        <v>0</v>
      </c>
      <c r="AL47" t="s">
        <v>16</v>
      </c>
      <c r="AM47">
        <f ca="1">Y13</f>
        <v>0</v>
      </c>
      <c r="BR47" s="3"/>
    </row>
    <row r="48" spans="6:70" x14ac:dyDescent="0.2">
      <c r="F48">
        <v>20</v>
      </c>
      <c r="Z48">
        <v>1</v>
      </c>
      <c r="AK48">
        <f t="shared" si="9"/>
        <v>0</v>
      </c>
      <c r="AL48" t="s">
        <v>16</v>
      </c>
      <c r="AM48">
        <f ca="1">Z13</f>
        <v>0</v>
      </c>
      <c r="BR48" s="3"/>
    </row>
    <row r="49" spans="6:70" x14ac:dyDescent="0.2">
      <c r="F49">
        <v>21</v>
      </c>
      <c r="AA49">
        <v>1</v>
      </c>
      <c r="AK49">
        <f t="shared" si="9"/>
        <v>5</v>
      </c>
      <c r="AL49" t="s">
        <v>16</v>
      </c>
      <c r="AM49">
        <f ca="1">AA13</f>
        <v>5</v>
      </c>
      <c r="BR49" s="3"/>
    </row>
    <row r="50" spans="6:70" x14ac:dyDescent="0.2">
      <c r="F50">
        <v>22</v>
      </c>
      <c r="AB50">
        <f>AB$6</f>
        <v>0</v>
      </c>
      <c r="AK50">
        <f t="shared" si="9"/>
        <v>0</v>
      </c>
      <c r="AL50" t="s">
        <v>16</v>
      </c>
      <c r="AM50">
        <f ca="1">AB13</f>
        <v>0</v>
      </c>
      <c r="BR50" s="3"/>
    </row>
    <row r="51" spans="6:70" x14ac:dyDescent="0.2">
      <c r="F51">
        <v>23</v>
      </c>
      <c r="AC51">
        <v>1</v>
      </c>
      <c r="AK51">
        <f t="shared" si="9"/>
        <v>0</v>
      </c>
      <c r="AL51" t="s">
        <v>16</v>
      </c>
      <c r="AM51">
        <f ca="1">AC13</f>
        <v>0</v>
      </c>
      <c r="BR51" s="3"/>
    </row>
    <row r="52" spans="6:70" ht="15.5" x14ac:dyDescent="0.2">
      <c r="F52">
        <v>24</v>
      </c>
      <c r="AD52">
        <v>1</v>
      </c>
      <c r="AK52">
        <f t="shared" si="9"/>
        <v>0</v>
      </c>
      <c r="AL52" t="s">
        <v>16</v>
      </c>
      <c r="AM52">
        <f ca="1">AD13</f>
        <v>0</v>
      </c>
    </row>
    <row r="53" spans="6:70" x14ac:dyDescent="0.2">
      <c r="F53">
        <v>25</v>
      </c>
      <c r="AE53">
        <v>1</v>
      </c>
      <c r="AK53">
        <f t="shared" si="9"/>
        <v>0</v>
      </c>
      <c r="AL53" t="s">
        <v>16</v>
      </c>
      <c r="AM53">
        <f ca="1">AE13</f>
        <v>0</v>
      </c>
    </row>
    <row r="54" spans="6:70" x14ac:dyDescent="0.2">
      <c r="F54">
        <v>26</v>
      </c>
      <c r="AF54">
        <v>1</v>
      </c>
      <c r="AK54">
        <f t="shared" si="9"/>
        <v>4</v>
      </c>
      <c r="AL54" t="s">
        <v>16</v>
      </c>
      <c r="AM54">
        <f ca="1">AF13</f>
        <v>4</v>
      </c>
    </row>
    <row r="55" spans="6:70" x14ac:dyDescent="0.2">
      <c r="F55">
        <v>27</v>
      </c>
      <c r="AG55">
        <v>1</v>
      </c>
      <c r="AK55">
        <f t="shared" si="9"/>
        <v>0</v>
      </c>
      <c r="AL55" t="s">
        <v>16</v>
      </c>
      <c r="AM55">
        <f ca="1">AG13</f>
        <v>0</v>
      </c>
      <c r="BR55" s="3"/>
    </row>
    <row r="56" spans="6:70" x14ac:dyDescent="0.2">
      <c r="F56">
        <v>28</v>
      </c>
      <c r="AH56">
        <v>1</v>
      </c>
      <c r="AK56">
        <f t="shared" si="9"/>
        <v>0</v>
      </c>
      <c r="AL56" t="s">
        <v>16</v>
      </c>
      <c r="AM56">
        <f ca="1">AH13</f>
        <v>0</v>
      </c>
      <c r="BR56" s="3"/>
    </row>
    <row r="57" spans="6:70" x14ac:dyDescent="0.2">
      <c r="F57">
        <v>29</v>
      </c>
      <c r="AI57">
        <f>AI6</f>
        <v>0</v>
      </c>
      <c r="AK57">
        <f t="shared" si="9"/>
        <v>0</v>
      </c>
      <c r="AL57" t="s">
        <v>16</v>
      </c>
      <c r="AM57">
        <f ca="1">AI13</f>
        <v>0</v>
      </c>
      <c r="BR57" s="3"/>
    </row>
    <row r="58" spans="6:70" x14ac:dyDescent="0.2">
      <c r="F58">
        <v>30</v>
      </c>
      <c r="AJ58">
        <v>1</v>
      </c>
      <c r="AK58">
        <f t="shared" si="9"/>
        <v>0</v>
      </c>
      <c r="AL58" t="s">
        <v>16</v>
      </c>
      <c r="AM58">
        <f ca="1">AJ13</f>
        <v>0</v>
      </c>
      <c r="BR58" s="3"/>
    </row>
    <row r="59" spans="6:70" x14ac:dyDescent="0.2">
      <c r="BR59" s="3"/>
    </row>
    <row r="60" spans="6:70" x14ac:dyDescent="0.2">
      <c r="BR60" s="3"/>
    </row>
    <row r="61" spans="6:70" x14ac:dyDescent="0.2">
      <c r="BR61" s="3"/>
    </row>
    <row r="80" spans="2:66" x14ac:dyDescent="0.2"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</row>
    <row r="136" spans="2:66" x14ac:dyDescent="0.2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</row>
    <row r="164" spans="2:66" x14ac:dyDescent="0.2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</row>
    <row r="192" spans="2:66" x14ac:dyDescent="0.2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</row>
    <row r="220" spans="2:66" x14ac:dyDescent="0.2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</row>
  </sheetData>
  <conditionalFormatting sqref="BZ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24:CT30 BS55:CT61 H19:AJ19 G28:AJ28">
    <cfRule type="cellIs" dxfId="7" priority="3" operator="lessThan">
      <formula>0</formula>
    </cfRule>
  </conditionalFormatting>
  <conditionalFormatting sqref="G6:AJ6">
    <cfRule type="colorScale" priority="5">
      <colorScale>
        <cfvo type="min"/>
        <cfvo type="max"/>
        <color theme="0"/>
        <color theme="7"/>
      </colorScale>
    </cfRule>
    <cfRule type="colorScale" priority="6">
      <colorScale>
        <cfvo type="min"/>
        <cfvo type="max"/>
        <color rgb="FF63BE7B"/>
        <color rgb="FFFFEF9C"/>
      </colorScale>
    </cfRule>
  </conditionalFormatting>
  <conditionalFormatting sqref="G19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9F5B5-6DBF-4819-BB5B-C4DA240192C8}">
  <sheetPr codeName="Sheet4"/>
  <dimension ref="A1:BR220"/>
  <sheetViews>
    <sheetView zoomScale="80" zoomScaleNormal="80" workbookViewId="0">
      <selection activeCell="G7" sqref="G7:AJ7"/>
    </sheetView>
  </sheetViews>
  <sheetFormatPr baseColWidth="10" defaultColWidth="11" defaultRowHeight="16" x14ac:dyDescent="0.2"/>
  <cols>
    <col min="1" max="1" width="12" customWidth="1"/>
    <col min="3" max="3" width="12.6640625" customWidth="1"/>
    <col min="4" max="4" width="4.6640625" customWidth="1"/>
    <col min="5" max="5" width="8.6640625" bestFit="1" customWidth="1"/>
    <col min="6" max="6" width="9.6640625" bestFit="1" customWidth="1"/>
    <col min="7" max="36" width="4.6640625" customWidth="1"/>
    <col min="37" max="37" width="13.33203125" customWidth="1"/>
    <col min="39" max="39" width="9.6640625" customWidth="1"/>
    <col min="40" max="40" width="5.1640625" customWidth="1"/>
    <col min="41" max="41" width="4" customWidth="1"/>
    <col min="42" max="42" width="3.1640625" customWidth="1"/>
    <col min="43" max="47" width="2.6640625" customWidth="1"/>
    <col min="48" max="69" width="3.1640625" customWidth="1"/>
    <col min="70" max="70" width="15.5" customWidth="1"/>
    <col min="71" max="71" width="3.1640625" customWidth="1"/>
    <col min="72" max="72" width="3.6640625" customWidth="1"/>
    <col min="73" max="73" width="3.1640625" customWidth="1"/>
    <col min="74" max="98" width="3.6640625" customWidth="1"/>
    <col min="99" max="100" width="2.83203125" bestFit="1" customWidth="1"/>
    <col min="102" max="102" width="10.6640625" customWidth="1"/>
    <col min="103" max="103" width="14.6640625" customWidth="1"/>
  </cols>
  <sheetData>
    <row r="1" spans="1:70" x14ac:dyDescent="0.2">
      <c r="G1" s="5">
        <f t="shared" ref="G1:AJ1" si="0">G2/$AM$2</f>
        <v>0.2</v>
      </c>
      <c r="H1" s="5">
        <f t="shared" si="0"/>
        <v>0.4</v>
      </c>
      <c r="I1" s="5">
        <f t="shared" si="0"/>
        <v>0.6</v>
      </c>
      <c r="J1" s="5">
        <f t="shared" si="0"/>
        <v>0.8</v>
      </c>
      <c r="K1" s="5">
        <f t="shared" si="0"/>
        <v>1</v>
      </c>
      <c r="L1" s="5">
        <f t="shared" si="0"/>
        <v>1.2</v>
      </c>
      <c r="M1" s="5">
        <f t="shared" si="0"/>
        <v>1.4</v>
      </c>
      <c r="N1" s="5">
        <f t="shared" si="0"/>
        <v>1.6</v>
      </c>
      <c r="O1" s="5">
        <f t="shared" si="0"/>
        <v>1.8</v>
      </c>
      <c r="P1" s="5">
        <f t="shared" si="0"/>
        <v>2</v>
      </c>
      <c r="Q1" s="5">
        <f t="shared" si="0"/>
        <v>2.2000000000000002</v>
      </c>
      <c r="R1" s="5">
        <f t="shared" si="0"/>
        <v>2.4</v>
      </c>
      <c r="S1" s="5">
        <f t="shared" si="0"/>
        <v>2.6</v>
      </c>
      <c r="T1" s="5">
        <f t="shared" si="0"/>
        <v>2.8</v>
      </c>
      <c r="U1" s="5">
        <f t="shared" si="0"/>
        <v>3</v>
      </c>
      <c r="V1" s="5">
        <f t="shared" si="0"/>
        <v>3.2</v>
      </c>
      <c r="W1" s="5">
        <f t="shared" si="0"/>
        <v>3.4</v>
      </c>
      <c r="X1" s="5">
        <f t="shared" si="0"/>
        <v>3.6</v>
      </c>
      <c r="Y1" s="5">
        <f t="shared" si="0"/>
        <v>3.8</v>
      </c>
      <c r="Z1" s="5">
        <f t="shared" si="0"/>
        <v>4</v>
      </c>
      <c r="AA1" s="5">
        <f t="shared" si="0"/>
        <v>4.2</v>
      </c>
      <c r="AB1" s="5">
        <f t="shared" si="0"/>
        <v>4.4000000000000004</v>
      </c>
      <c r="AC1" s="5">
        <f t="shared" si="0"/>
        <v>4.5999999999999996</v>
      </c>
      <c r="AD1" s="5">
        <f t="shared" si="0"/>
        <v>4.8</v>
      </c>
      <c r="AE1" s="5">
        <f t="shared" si="0"/>
        <v>5</v>
      </c>
      <c r="AF1" s="5">
        <f t="shared" si="0"/>
        <v>5.2</v>
      </c>
      <c r="AG1" s="5">
        <f t="shared" si="0"/>
        <v>5.4</v>
      </c>
      <c r="AH1" s="5">
        <f t="shared" si="0"/>
        <v>5.6</v>
      </c>
      <c r="AI1" s="5">
        <f t="shared" si="0"/>
        <v>5.8</v>
      </c>
      <c r="AJ1" s="5">
        <f t="shared" si="0"/>
        <v>6</v>
      </c>
    </row>
    <row r="2" spans="1:70" ht="17" thickBot="1" x14ac:dyDescent="0.25">
      <c r="A2" s="20" t="s">
        <v>27</v>
      </c>
      <c r="E2" s="11" t="s">
        <v>0</v>
      </c>
      <c r="F2" s="11" t="s">
        <v>1</v>
      </c>
      <c r="G2" s="10">
        <v>1</v>
      </c>
      <c r="H2" s="10">
        <v>2</v>
      </c>
      <c r="I2" s="10">
        <v>3</v>
      </c>
      <c r="J2" s="10">
        <v>4</v>
      </c>
      <c r="K2" s="10">
        <v>5</v>
      </c>
      <c r="L2" s="10">
        <v>6</v>
      </c>
      <c r="M2" s="10">
        <v>7</v>
      </c>
      <c r="N2" s="10">
        <v>8</v>
      </c>
      <c r="O2" s="10">
        <v>9</v>
      </c>
      <c r="P2" s="10">
        <v>10</v>
      </c>
      <c r="Q2" s="10">
        <v>11</v>
      </c>
      <c r="R2" s="10">
        <v>12</v>
      </c>
      <c r="S2" s="10">
        <v>13</v>
      </c>
      <c r="T2" s="10">
        <v>14</v>
      </c>
      <c r="U2" s="10">
        <v>15</v>
      </c>
      <c r="V2" s="10">
        <v>16</v>
      </c>
      <c r="W2" s="10">
        <v>17</v>
      </c>
      <c r="X2" s="10">
        <v>18</v>
      </c>
      <c r="Y2" s="10">
        <v>19</v>
      </c>
      <c r="Z2" s="10">
        <v>20</v>
      </c>
      <c r="AA2" s="10">
        <v>21</v>
      </c>
      <c r="AB2" s="10">
        <v>22</v>
      </c>
      <c r="AC2" s="10">
        <v>23</v>
      </c>
      <c r="AD2" s="10">
        <v>24</v>
      </c>
      <c r="AE2" s="10">
        <v>25</v>
      </c>
      <c r="AF2" s="10">
        <v>26</v>
      </c>
      <c r="AG2" s="10">
        <v>27</v>
      </c>
      <c r="AH2" s="10">
        <v>28</v>
      </c>
      <c r="AI2" s="10">
        <v>29</v>
      </c>
      <c r="AJ2" s="10">
        <v>30</v>
      </c>
      <c r="AL2" t="s">
        <v>2</v>
      </c>
      <c r="AM2" s="7">
        <f>'Inputs and Outputs'!B2</f>
        <v>5</v>
      </c>
      <c r="AP2" s="2"/>
    </row>
    <row r="3" spans="1:70" x14ac:dyDescent="0.2">
      <c r="A3" t="s">
        <v>28</v>
      </c>
      <c r="B3" s="22"/>
      <c r="E3" s="21">
        <v>3</v>
      </c>
      <c r="F3" s="3" t="s">
        <v>33</v>
      </c>
      <c r="G3" s="9">
        <f>'Inputs and Outputs'!E6</f>
        <v>0</v>
      </c>
      <c r="H3" s="9">
        <f>'Inputs and Outputs'!F6</f>
        <v>3</v>
      </c>
      <c r="I3" s="9">
        <f>'Inputs and Outputs'!G6</f>
        <v>1</v>
      </c>
      <c r="J3" s="9">
        <f>'Inputs and Outputs'!H6</f>
        <v>0</v>
      </c>
      <c r="K3" s="9">
        <f>'Inputs and Outputs'!I6</f>
        <v>0</v>
      </c>
      <c r="L3" s="9">
        <f>'Inputs and Outputs'!J6</f>
        <v>1</v>
      </c>
      <c r="M3" s="9">
        <f>'Inputs and Outputs'!K6</f>
        <v>0</v>
      </c>
      <c r="N3" s="9">
        <f>'Inputs and Outputs'!L6</f>
        <v>0</v>
      </c>
      <c r="O3" s="9">
        <f>'Inputs and Outputs'!M6</f>
        <v>0</v>
      </c>
      <c r="P3" s="9">
        <f>'Inputs and Outputs'!N6</f>
        <v>0</v>
      </c>
      <c r="Q3" s="9">
        <f>'Inputs and Outputs'!O6</f>
        <v>0</v>
      </c>
      <c r="R3" s="9">
        <f>'Inputs and Outputs'!P6</f>
        <v>2</v>
      </c>
      <c r="S3" s="9">
        <f>'Inputs and Outputs'!Q6</f>
        <v>0</v>
      </c>
      <c r="T3" s="9">
        <f>'Inputs and Outputs'!R6</f>
        <v>0</v>
      </c>
      <c r="U3" s="9">
        <f>'Inputs and Outputs'!S6</f>
        <v>0</v>
      </c>
      <c r="V3" s="9">
        <f>'Inputs and Outputs'!T6</f>
        <v>0</v>
      </c>
      <c r="W3" s="9">
        <f>'Inputs and Outputs'!U6</f>
        <v>1</v>
      </c>
      <c r="X3" s="9">
        <f>'Inputs and Outputs'!V6</f>
        <v>0</v>
      </c>
      <c r="Y3" s="9">
        <f>'Inputs and Outputs'!W6</f>
        <v>0</v>
      </c>
      <c r="Z3" s="9">
        <f>'Inputs and Outputs'!X6</f>
        <v>0</v>
      </c>
      <c r="AA3" s="9">
        <f>'Inputs and Outputs'!Y6</f>
        <v>0</v>
      </c>
      <c r="AB3" s="9">
        <f>'Inputs and Outputs'!Z6</f>
        <v>2</v>
      </c>
      <c r="AC3" s="9">
        <f>'Inputs and Outputs'!AA6</f>
        <v>0</v>
      </c>
      <c r="AD3" s="9">
        <f>'Inputs and Outputs'!AB6</f>
        <v>0</v>
      </c>
      <c r="AE3" s="9">
        <f>'Inputs and Outputs'!AC6</f>
        <v>0</v>
      </c>
      <c r="AF3" s="9">
        <f>'Inputs and Outputs'!AD6</f>
        <v>0</v>
      </c>
      <c r="AG3" s="9">
        <f>'Inputs and Outputs'!AE6</f>
        <v>2</v>
      </c>
      <c r="AH3" s="9">
        <f>'Inputs and Outputs'!AF6</f>
        <v>0</v>
      </c>
      <c r="AI3" s="9">
        <f>'Inputs and Outputs'!AG6</f>
        <v>0</v>
      </c>
      <c r="AJ3" s="9">
        <f>'Inputs and Outputs'!AH6</f>
        <v>0</v>
      </c>
      <c r="BR3" s="3"/>
    </row>
    <row r="4" spans="1:70" x14ac:dyDescent="0.2">
      <c r="A4" t="s">
        <v>29</v>
      </c>
      <c r="B4" s="4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</row>
    <row r="5" spans="1:70" x14ac:dyDescent="0.2">
      <c r="A5" t="s">
        <v>30</v>
      </c>
      <c r="B5" s="23"/>
      <c r="G5" s="10">
        <v>1</v>
      </c>
      <c r="H5" s="10">
        <v>2</v>
      </c>
      <c r="I5" s="10">
        <v>3</v>
      </c>
      <c r="J5" s="10">
        <v>4</v>
      </c>
      <c r="K5" s="10">
        <v>5</v>
      </c>
      <c r="L5" s="10">
        <v>6</v>
      </c>
      <c r="M5" s="10">
        <v>7</v>
      </c>
      <c r="N5" s="10">
        <v>8</v>
      </c>
      <c r="O5" s="10">
        <v>9</v>
      </c>
      <c r="P5" s="10">
        <v>10</v>
      </c>
      <c r="Q5" s="10">
        <v>11</v>
      </c>
      <c r="R5" s="10">
        <v>12</v>
      </c>
      <c r="S5" s="10">
        <v>13</v>
      </c>
      <c r="T5" s="10">
        <v>14</v>
      </c>
      <c r="U5" s="10">
        <v>15</v>
      </c>
      <c r="V5" s="10">
        <v>16</v>
      </c>
      <c r="W5" s="10">
        <v>17</v>
      </c>
      <c r="X5" s="10">
        <v>18</v>
      </c>
      <c r="Y5" s="10">
        <v>19</v>
      </c>
      <c r="Z5" s="10">
        <v>20</v>
      </c>
      <c r="AA5" s="10">
        <v>21</v>
      </c>
      <c r="AB5" s="10">
        <v>22</v>
      </c>
      <c r="AC5" s="10">
        <v>23</v>
      </c>
      <c r="AD5" s="10">
        <v>24</v>
      </c>
      <c r="AE5" s="10">
        <v>25</v>
      </c>
      <c r="AF5" s="10">
        <v>26</v>
      </c>
      <c r="AG5" s="10">
        <v>27</v>
      </c>
      <c r="AH5" s="10">
        <v>28</v>
      </c>
      <c r="AI5" s="10">
        <v>29</v>
      </c>
      <c r="AJ5" s="10">
        <v>30</v>
      </c>
      <c r="AK5" t="s">
        <v>21</v>
      </c>
    </row>
    <row r="6" spans="1:70" x14ac:dyDescent="0.2">
      <c r="F6" s="12" t="s">
        <v>14</v>
      </c>
      <c r="G6" s="13">
        <f>IF(AM2&gt;=1,1,0)</f>
        <v>1</v>
      </c>
      <c r="H6" s="13">
        <f t="shared" ref="H6:AJ6" si="1">IF(OR(G1=1,G1=2,G1=3,G1=4,G1=5,G1=6,G1=7,G1=8,G1=9,G1=10,G1=11,G1=12,G1=13,G1=14),1,0)</f>
        <v>0</v>
      </c>
      <c r="I6" s="13">
        <f t="shared" si="1"/>
        <v>0</v>
      </c>
      <c r="J6" s="13">
        <f t="shared" si="1"/>
        <v>0</v>
      </c>
      <c r="K6" s="13">
        <f t="shared" si="1"/>
        <v>0</v>
      </c>
      <c r="L6" s="13">
        <f t="shared" si="1"/>
        <v>1</v>
      </c>
      <c r="M6" s="13">
        <f t="shared" si="1"/>
        <v>0</v>
      </c>
      <c r="N6" s="13">
        <f t="shared" si="1"/>
        <v>0</v>
      </c>
      <c r="O6" s="13">
        <f t="shared" si="1"/>
        <v>0</v>
      </c>
      <c r="P6" s="13">
        <f t="shared" si="1"/>
        <v>0</v>
      </c>
      <c r="Q6" s="13">
        <f t="shared" si="1"/>
        <v>1</v>
      </c>
      <c r="R6" s="13">
        <f t="shared" si="1"/>
        <v>0</v>
      </c>
      <c r="S6" s="13">
        <f t="shared" si="1"/>
        <v>0</v>
      </c>
      <c r="T6" s="13">
        <f t="shared" si="1"/>
        <v>0</v>
      </c>
      <c r="U6" s="13">
        <f t="shared" si="1"/>
        <v>0</v>
      </c>
      <c r="V6" s="13">
        <f t="shared" si="1"/>
        <v>1</v>
      </c>
      <c r="W6" s="13">
        <f t="shared" si="1"/>
        <v>0</v>
      </c>
      <c r="X6" s="13">
        <f t="shared" si="1"/>
        <v>0</v>
      </c>
      <c r="Y6" s="13">
        <f t="shared" si="1"/>
        <v>0</v>
      </c>
      <c r="Z6" s="13">
        <f t="shared" si="1"/>
        <v>0</v>
      </c>
      <c r="AA6" s="13">
        <f t="shared" si="1"/>
        <v>1</v>
      </c>
      <c r="AB6" s="13">
        <f t="shared" si="1"/>
        <v>0</v>
      </c>
      <c r="AC6" s="13">
        <f t="shared" si="1"/>
        <v>0</v>
      </c>
      <c r="AD6" s="13">
        <f t="shared" si="1"/>
        <v>0</v>
      </c>
      <c r="AE6" s="13">
        <f t="shared" si="1"/>
        <v>0</v>
      </c>
      <c r="AF6" s="13">
        <f t="shared" si="1"/>
        <v>1</v>
      </c>
      <c r="AG6" s="13">
        <f t="shared" si="1"/>
        <v>0</v>
      </c>
      <c r="AH6" s="13">
        <f t="shared" si="1"/>
        <v>0</v>
      </c>
      <c r="AI6" s="13">
        <f t="shared" si="1"/>
        <v>0</v>
      </c>
      <c r="AJ6" s="13">
        <f t="shared" si="1"/>
        <v>0</v>
      </c>
      <c r="AL6" s="1">
        <f>SUM(G28:AH28)</f>
        <v>0</v>
      </c>
      <c r="AN6">
        <v>0</v>
      </c>
      <c r="AO6" s="18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</row>
    <row r="7" spans="1:70" x14ac:dyDescent="0.2">
      <c r="E7" t="s">
        <v>15</v>
      </c>
      <c r="F7" s="3" t="s">
        <v>33</v>
      </c>
      <c r="G7" s="4">
        <v>4</v>
      </c>
      <c r="H7" s="4">
        <v>0</v>
      </c>
      <c r="I7" s="4">
        <v>0</v>
      </c>
      <c r="J7" s="4">
        <v>0</v>
      </c>
      <c r="K7" s="4">
        <v>0</v>
      </c>
      <c r="L7" s="4">
        <v>1</v>
      </c>
      <c r="M7" s="4">
        <v>0</v>
      </c>
      <c r="N7" s="4">
        <v>0</v>
      </c>
      <c r="O7" s="4">
        <v>0</v>
      </c>
      <c r="P7" s="4">
        <v>0</v>
      </c>
      <c r="Q7" s="4">
        <v>2</v>
      </c>
      <c r="R7" s="4">
        <v>0</v>
      </c>
      <c r="S7" s="4">
        <v>0</v>
      </c>
      <c r="T7" s="4">
        <v>0</v>
      </c>
      <c r="U7" s="4">
        <v>0</v>
      </c>
      <c r="V7" s="4">
        <v>1</v>
      </c>
      <c r="W7" s="4">
        <v>0</v>
      </c>
      <c r="X7" s="4">
        <v>0</v>
      </c>
      <c r="Y7" s="4">
        <v>0</v>
      </c>
      <c r="Z7" s="4">
        <v>0</v>
      </c>
      <c r="AA7" s="4">
        <v>2</v>
      </c>
      <c r="AB7" s="4">
        <v>0</v>
      </c>
      <c r="AC7" s="4">
        <v>0</v>
      </c>
      <c r="AD7" s="4">
        <v>0</v>
      </c>
      <c r="AE7" s="4">
        <v>0</v>
      </c>
      <c r="AF7" s="4">
        <v>2</v>
      </c>
      <c r="AG7" s="4">
        <v>0</v>
      </c>
      <c r="AH7" s="4">
        <v>0</v>
      </c>
      <c r="AI7" s="4">
        <v>0</v>
      </c>
      <c r="AJ7" s="4">
        <v>0</v>
      </c>
      <c r="AK7">
        <f>SUMPRODUCT($G$6:$AJ$6,G7:AJ7)</f>
        <v>12</v>
      </c>
      <c r="AL7" s="6" t="s">
        <v>16</v>
      </c>
      <c r="AM7">
        <f>SUM(G3:AJ3)</f>
        <v>12</v>
      </c>
    </row>
    <row r="8" spans="1:70" x14ac:dyDescent="0.2">
      <c r="A8" s="11" t="s">
        <v>1</v>
      </c>
      <c r="B8" t="s">
        <v>4</v>
      </c>
      <c r="C8" t="s">
        <v>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</row>
    <row r="9" spans="1:70" x14ac:dyDescent="0.2">
      <c r="A9" s="16" t="s">
        <v>6</v>
      </c>
      <c r="B9" s="17">
        <v>1.25</v>
      </c>
      <c r="C9" s="18">
        <v>1</v>
      </c>
    </row>
    <row r="10" spans="1:70" x14ac:dyDescent="0.2">
      <c r="A10" s="16" t="s">
        <v>7</v>
      </c>
      <c r="B10" s="17">
        <v>5.99</v>
      </c>
      <c r="C10" s="18">
        <v>2</v>
      </c>
      <c r="F10" s="2" t="s">
        <v>20</v>
      </c>
      <c r="G10" s="2">
        <v>1</v>
      </c>
      <c r="H10" s="2">
        <v>2</v>
      </c>
      <c r="I10" s="2">
        <v>3</v>
      </c>
      <c r="J10" s="2">
        <v>4</v>
      </c>
      <c r="K10" s="2">
        <v>5</v>
      </c>
      <c r="L10" s="2">
        <v>6</v>
      </c>
      <c r="M10" s="2">
        <v>7</v>
      </c>
      <c r="N10" s="2">
        <v>8</v>
      </c>
      <c r="O10" s="2">
        <v>9</v>
      </c>
      <c r="P10" s="2">
        <v>10</v>
      </c>
      <c r="Q10" s="2">
        <v>11</v>
      </c>
      <c r="R10" s="2">
        <v>12</v>
      </c>
      <c r="S10" s="2">
        <v>13</v>
      </c>
      <c r="T10" s="2">
        <v>14</v>
      </c>
      <c r="U10" s="2">
        <v>15</v>
      </c>
      <c r="V10" s="2">
        <v>16</v>
      </c>
      <c r="W10" s="2">
        <v>17</v>
      </c>
      <c r="X10" s="2">
        <v>18</v>
      </c>
      <c r="Y10" s="2">
        <v>19</v>
      </c>
      <c r="Z10" s="2">
        <v>20</v>
      </c>
      <c r="AA10" s="2">
        <v>21</v>
      </c>
      <c r="AB10" s="2">
        <v>22</v>
      </c>
      <c r="AC10" s="2">
        <v>23</v>
      </c>
      <c r="AD10" s="2">
        <v>24</v>
      </c>
      <c r="AE10" s="2">
        <v>25</v>
      </c>
      <c r="AF10" s="2">
        <v>26</v>
      </c>
      <c r="AG10" s="2">
        <v>27</v>
      </c>
      <c r="AH10" s="2">
        <v>28</v>
      </c>
      <c r="AI10" s="2">
        <v>29</v>
      </c>
      <c r="AJ10" s="2">
        <v>30</v>
      </c>
    </row>
    <row r="11" spans="1:70" x14ac:dyDescent="0.2">
      <c r="A11" s="16" t="s">
        <v>8</v>
      </c>
      <c r="B11" s="17">
        <v>0.27</v>
      </c>
      <c r="C11" s="18">
        <v>1</v>
      </c>
      <c r="F11" s="3" t="s">
        <v>33</v>
      </c>
      <c r="G11">
        <v>0</v>
      </c>
      <c r="H11">
        <f t="shared" ref="H11:AJ11" si="2">IF(H15=0,0,IF(H19&gt;G19,G19-H3,IF(G11&gt;0,G11-1,0)))</f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0</v>
      </c>
      <c r="M11">
        <f t="shared" si="2"/>
        <v>0</v>
      </c>
      <c r="N11">
        <f t="shared" si="2"/>
        <v>0</v>
      </c>
      <c r="O11">
        <f t="shared" si="2"/>
        <v>0</v>
      </c>
      <c r="P11">
        <f t="shared" si="2"/>
        <v>0</v>
      </c>
      <c r="Q11">
        <f t="shared" si="2"/>
        <v>0</v>
      </c>
      <c r="R11">
        <f t="shared" si="2"/>
        <v>0</v>
      </c>
      <c r="S11">
        <f t="shared" si="2"/>
        <v>0</v>
      </c>
      <c r="T11">
        <f t="shared" si="2"/>
        <v>0</v>
      </c>
      <c r="U11">
        <f t="shared" si="2"/>
        <v>0</v>
      </c>
      <c r="V11">
        <f t="shared" si="2"/>
        <v>0</v>
      </c>
      <c r="W11">
        <f t="shared" si="2"/>
        <v>0</v>
      </c>
      <c r="X11">
        <f t="shared" si="2"/>
        <v>0</v>
      </c>
      <c r="Y11">
        <f t="shared" si="2"/>
        <v>0</v>
      </c>
      <c r="Z11">
        <f t="shared" si="2"/>
        <v>0</v>
      </c>
      <c r="AA11">
        <f t="shared" si="2"/>
        <v>0</v>
      </c>
      <c r="AB11">
        <f t="shared" si="2"/>
        <v>0</v>
      </c>
      <c r="AC11">
        <f t="shared" si="2"/>
        <v>0</v>
      </c>
      <c r="AD11">
        <f t="shared" si="2"/>
        <v>0</v>
      </c>
      <c r="AE11">
        <f t="shared" si="2"/>
        <v>0</v>
      </c>
      <c r="AF11">
        <f t="shared" si="2"/>
        <v>0</v>
      </c>
      <c r="AG11">
        <f t="shared" si="2"/>
        <v>0</v>
      </c>
      <c r="AH11">
        <f t="shared" si="2"/>
        <v>0</v>
      </c>
      <c r="AI11">
        <f t="shared" si="2"/>
        <v>0</v>
      </c>
      <c r="AJ11">
        <f t="shared" si="2"/>
        <v>0</v>
      </c>
    </row>
    <row r="12" spans="1:70" x14ac:dyDescent="0.2">
      <c r="A12" s="16" t="s">
        <v>9</v>
      </c>
      <c r="B12" s="17">
        <v>3.49</v>
      </c>
      <c r="C12" s="18">
        <v>6</v>
      </c>
      <c r="G12" s="14">
        <v>1</v>
      </c>
      <c r="H12" s="14">
        <v>2</v>
      </c>
      <c r="I12" s="14">
        <v>3</v>
      </c>
      <c r="J12" s="14">
        <v>4</v>
      </c>
      <c r="K12" s="14">
        <v>5</v>
      </c>
      <c r="L12" s="14">
        <v>6</v>
      </c>
      <c r="M12" s="14">
        <v>7</v>
      </c>
      <c r="N12" s="14">
        <v>8</v>
      </c>
      <c r="O12" s="14">
        <v>9</v>
      </c>
      <c r="P12" s="14">
        <v>10</v>
      </c>
      <c r="Q12" s="14">
        <v>11</v>
      </c>
      <c r="R12" s="14">
        <v>12</v>
      </c>
      <c r="S12" s="14">
        <v>13</v>
      </c>
      <c r="T12" s="14">
        <v>14</v>
      </c>
      <c r="U12" s="14">
        <v>15</v>
      </c>
      <c r="V12" s="14">
        <v>16</v>
      </c>
      <c r="W12" s="14">
        <v>17</v>
      </c>
      <c r="X12" s="14">
        <v>18</v>
      </c>
      <c r="Y12" s="14">
        <v>19</v>
      </c>
      <c r="Z12" s="14">
        <v>20</v>
      </c>
      <c r="AA12" s="14">
        <v>21</v>
      </c>
      <c r="AB12" s="14">
        <v>22</v>
      </c>
      <c r="AC12" s="14">
        <v>23</v>
      </c>
      <c r="AD12" s="14">
        <v>24</v>
      </c>
      <c r="AE12" s="14">
        <v>25</v>
      </c>
      <c r="AF12" s="14">
        <v>26</v>
      </c>
      <c r="AG12" s="14">
        <v>27</v>
      </c>
      <c r="AH12" s="14">
        <v>28</v>
      </c>
      <c r="AI12" s="14">
        <v>29</v>
      </c>
      <c r="AJ12" s="14">
        <v>30</v>
      </c>
    </row>
    <row r="13" spans="1:70" x14ac:dyDescent="0.2">
      <c r="A13" s="16" t="s">
        <v>10</v>
      </c>
      <c r="B13" s="17">
        <v>4.99</v>
      </c>
      <c r="C13" s="18">
        <v>5</v>
      </c>
      <c r="H13">
        <f t="shared" ref="H13:AJ13" ca="1" si="3">IF(H6=1,SUM(OFFSET(H3,0,0,1,$AM$2)),0)</f>
        <v>0</v>
      </c>
      <c r="I13">
        <f t="shared" ca="1" si="3"/>
        <v>0</v>
      </c>
      <c r="J13">
        <f t="shared" ca="1" si="3"/>
        <v>0</v>
      </c>
      <c r="K13">
        <f t="shared" ca="1" si="3"/>
        <v>0</v>
      </c>
      <c r="L13">
        <f t="shared" ca="1" si="3"/>
        <v>1</v>
      </c>
      <c r="M13">
        <f t="shared" ca="1" si="3"/>
        <v>0</v>
      </c>
      <c r="N13">
        <f t="shared" ca="1" si="3"/>
        <v>0</v>
      </c>
      <c r="O13">
        <f t="shared" ca="1" si="3"/>
        <v>0</v>
      </c>
      <c r="P13">
        <f t="shared" ca="1" si="3"/>
        <v>0</v>
      </c>
      <c r="Q13">
        <f t="shared" ca="1" si="3"/>
        <v>2</v>
      </c>
      <c r="R13">
        <f t="shared" ca="1" si="3"/>
        <v>0</v>
      </c>
      <c r="S13">
        <f t="shared" ca="1" si="3"/>
        <v>0</v>
      </c>
      <c r="T13">
        <f t="shared" ca="1" si="3"/>
        <v>0</v>
      </c>
      <c r="U13">
        <f t="shared" ca="1" si="3"/>
        <v>0</v>
      </c>
      <c r="V13">
        <f t="shared" ca="1" si="3"/>
        <v>1</v>
      </c>
      <c r="W13">
        <f t="shared" ca="1" si="3"/>
        <v>0</v>
      </c>
      <c r="X13">
        <f t="shared" ca="1" si="3"/>
        <v>0</v>
      </c>
      <c r="Y13">
        <f t="shared" ca="1" si="3"/>
        <v>0</v>
      </c>
      <c r="Z13">
        <f t="shared" ca="1" si="3"/>
        <v>0</v>
      </c>
      <c r="AA13">
        <f t="shared" ca="1" si="3"/>
        <v>2</v>
      </c>
      <c r="AB13">
        <f t="shared" ca="1" si="3"/>
        <v>0</v>
      </c>
      <c r="AC13">
        <f t="shared" ca="1" si="3"/>
        <v>0</v>
      </c>
      <c r="AD13">
        <f t="shared" ca="1" si="3"/>
        <v>0</v>
      </c>
      <c r="AE13">
        <f t="shared" ca="1" si="3"/>
        <v>0</v>
      </c>
      <c r="AF13">
        <f t="shared" ca="1" si="3"/>
        <v>2</v>
      </c>
      <c r="AG13">
        <f t="shared" ca="1" si="3"/>
        <v>0</v>
      </c>
      <c r="AH13">
        <f t="shared" ca="1" si="3"/>
        <v>0</v>
      </c>
      <c r="AI13">
        <f t="shared" ca="1" si="3"/>
        <v>0</v>
      </c>
      <c r="AJ13">
        <f t="shared" ca="1" si="3"/>
        <v>0</v>
      </c>
    </row>
    <row r="14" spans="1:70" x14ac:dyDescent="0.2">
      <c r="A14" s="16" t="s">
        <v>11</v>
      </c>
      <c r="B14" s="17">
        <v>4.99</v>
      </c>
      <c r="C14" s="18">
        <v>6</v>
      </c>
      <c r="F14" s="19" t="s">
        <v>22</v>
      </c>
      <c r="G14" s="2">
        <v>1</v>
      </c>
      <c r="H14" s="2">
        <v>2</v>
      </c>
      <c r="I14" s="2">
        <v>3</v>
      </c>
      <c r="J14" s="2">
        <v>4</v>
      </c>
      <c r="K14" s="2">
        <v>5</v>
      </c>
      <c r="L14" s="2">
        <v>6</v>
      </c>
      <c r="M14" s="2">
        <v>7</v>
      </c>
      <c r="N14" s="2">
        <v>8</v>
      </c>
      <c r="O14" s="2">
        <v>9</v>
      </c>
      <c r="P14" s="2">
        <v>10</v>
      </c>
      <c r="Q14" s="2">
        <v>11</v>
      </c>
      <c r="R14" s="2">
        <v>12</v>
      </c>
      <c r="S14" s="2">
        <v>13</v>
      </c>
      <c r="T14" s="2">
        <v>14</v>
      </c>
      <c r="U14" s="2">
        <v>15</v>
      </c>
      <c r="V14" s="2">
        <v>16</v>
      </c>
      <c r="W14" s="2">
        <v>17</v>
      </c>
      <c r="X14" s="2">
        <v>18</v>
      </c>
      <c r="Y14" s="2">
        <v>19</v>
      </c>
      <c r="Z14" s="2">
        <v>20</v>
      </c>
      <c r="AA14" s="2">
        <v>21</v>
      </c>
      <c r="AB14" s="2">
        <v>22</v>
      </c>
      <c r="AC14" s="2">
        <v>23</v>
      </c>
      <c r="AD14" s="2">
        <v>24</v>
      </c>
      <c r="AE14" s="2">
        <v>25</v>
      </c>
      <c r="AF14" s="2">
        <v>26</v>
      </c>
      <c r="AG14" s="2">
        <v>27</v>
      </c>
      <c r="AH14" s="2">
        <v>28</v>
      </c>
      <c r="AI14" s="2">
        <v>29</v>
      </c>
      <c r="AJ14" s="2">
        <v>30</v>
      </c>
    </row>
    <row r="15" spans="1:70" x14ac:dyDescent="0.2">
      <c r="A15" s="16" t="s">
        <v>12</v>
      </c>
      <c r="B15" s="17">
        <v>0.9</v>
      </c>
      <c r="C15" s="18">
        <v>1</v>
      </c>
      <c r="F15" s="3" t="s">
        <v>33</v>
      </c>
      <c r="G15">
        <v>0</v>
      </c>
      <c r="H15">
        <f t="shared" ref="H15:AJ15" si="4">IF(AND(H7&gt;0,G19-H3&gt;0),G22-1,G15-1)</f>
        <v>-1</v>
      </c>
      <c r="I15">
        <f t="shared" si="4"/>
        <v>-2</v>
      </c>
      <c r="J15">
        <f t="shared" si="4"/>
        <v>-3</v>
      </c>
      <c r="K15">
        <f t="shared" si="4"/>
        <v>-4</v>
      </c>
      <c r="L15">
        <f t="shared" si="4"/>
        <v>-5</v>
      </c>
      <c r="M15">
        <f t="shared" si="4"/>
        <v>-6</v>
      </c>
      <c r="N15">
        <f t="shared" si="4"/>
        <v>-7</v>
      </c>
      <c r="O15">
        <f t="shared" si="4"/>
        <v>-8</v>
      </c>
      <c r="P15">
        <f t="shared" si="4"/>
        <v>-9</v>
      </c>
      <c r="Q15">
        <f t="shared" si="4"/>
        <v>-10</v>
      </c>
      <c r="R15">
        <f t="shared" si="4"/>
        <v>-11</v>
      </c>
      <c r="S15">
        <f t="shared" si="4"/>
        <v>-12</v>
      </c>
      <c r="T15">
        <f t="shared" si="4"/>
        <v>-13</v>
      </c>
      <c r="U15">
        <f t="shared" si="4"/>
        <v>-14</v>
      </c>
      <c r="V15">
        <f t="shared" si="4"/>
        <v>-15</v>
      </c>
      <c r="W15">
        <f t="shared" si="4"/>
        <v>-16</v>
      </c>
      <c r="X15">
        <f t="shared" si="4"/>
        <v>-17</v>
      </c>
      <c r="Y15">
        <f t="shared" si="4"/>
        <v>-18</v>
      </c>
      <c r="Z15">
        <f t="shared" si="4"/>
        <v>-19</v>
      </c>
      <c r="AA15">
        <f t="shared" si="4"/>
        <v>-20</v>
      </c>
      <c r="AB15">
        <f t="shared" si="4"/>
        <v>-21</v>
      </c>
      <c r="AC15">
        <f t="shared" si="4"/>
        <v>-22</v>
      </c>
      <c r="AD15">
        <f t="shared" si="4"/>
        <v>-23</v>
      </c>
      <c r="AE15">
        <f t="shared" si="4"/>
        <v>-24</v>
      </c>
      <c r="AF15">
        <f t="shared" si="4"/>
        <v>-25</v>
      </c>
      <c r="AG15">
        <f t="shared" si="4"/>
        <v>-26</v>
      </c>
      <c r="AH15">
        <f t="shared" si="4"/>
        <v>-27</v>
      </c>
      <c r="AI15">
        <f t="shared" si="4"/>
        <v>-28</v>
      </c>
      <c r="AJ15">
        <f t="shared" si="4"/>
        <v>-29</v>
      </c>
    </row>
    <row r="16" spans="1:70" x14ac:dyDescent="0.2">
      <c r="A16" s="16" t="s">
        <v>13</v>
      </c>
      <c r="B16" s="17">
        <v>2.4900000000000002</v>
      </c>
      <c r="C16" s="18">
        <v>5</v>
      </c>
      <c r="F16" s="3"/>
    </row>
    <row r="17" spans="5:70" x14ac:dyDescent="0.2">
      <c r="F17" s="15" t="s">
        <v>17</v>
      </c>
    </row>
    <row r="18" spans="5:70" x14ac:dyDescent="0.2">
      <c r="F18" s="10" t="s">
        <v>18</v>
      </c>
      <c r="G18" s="2">
        <v>1</v>
      </c>
      <c r="H18" s="2">
        <v>2</v>
      </c>
      <c r="I18" s="2">
        <v>3</v>
      </c>
      <c r="J18" s="2">
        <v>4</v>
      </c>
      <c r="K18" s="2">
        <v>5</v>
      </c>
      <c r="L18" s="2">
        <v>6</v>
      </c>
      <c r="M18" s="2">
        <v>7</v>
      </c>
      <c r="N18" s="2">
        <v>8</v>
      </c>
      <c r="O18" s="2">
        <v>9</v>
      </c>
      <c r="P18" s="2">
        <v>10</v>
      </c>
      <c r="Q18" s="2">
        <v>11</v>
      </c>
      <c r="R18" s="2">
        <v>12</v>
      </c>
      <c r="S18" s="2">
        <v>13</v>
      </c>
      <c r="T18" s="2">
        <v>14</v>
      </c>
      <c r="U18" s="2">
        <v>15</v>
      </c>
      <c r="V18" s="2">
        <v>16</v>
      </c>
      <c r="W18" s="2">
        <v>17</v>
      </c>
      <c r="X18" s="2">
        <v>18</v>
      </c>
      <c r="Y18" s="2">
        <v>19</v>
      </c>
      <c r="Z18" s="2">
        <v>20</v>
      </c>
      <c r="AA18" s="2">
        <v>21</v>
      </c>
      <c r="AB18" s="2">
        <v>22</v>
      </c>
      <c r="AC18" s="2">
        <v>23</v>
      </c>
      <c r="AD18" s="2">
        <v>24</v>
      </c>
      <c r="AE18" s="2">
        <v>25</v>
      </c>
      <c r="AF18" s="2">
        <v>26</v>
      </c>
      <c r="AG18" s="2">
        <v>27</v>
      </c>
      <c r="AH18" s="2">
        <v>28</v>
      </c>
      <c r="AI18" s="2">
        <v>29</v>
      </c>
      <c r="AJ18" s="2">
        <v>30</v>
      </c>
    </row>
    <row r="19" spans="5:70" x14ac:dyDescent="0.2">
      <c r="F19" s="3" t="s">
        <v>33</v>
      </c>
      <c r="G19">
        <f>G25</f>
        <v>4</v>
      </c>
      <c r="H19">
        <f t="shared" ref="H19:AJ19" si="5">IF(H22=0,0-H3,G19+H25-H3)</f>
        <v>1</v>
      </c>
      <c r="I19">
        <f t="shared" si="5"/>
        <v>0</v>
      </c>
      <c r="J19">
        <f t="shared" si="5"/>
        <v>0</v>
      </c>
      <c r="K19">
        <f t="shared" si="5"/>
        <v>0</v>
      </c>
      <c r="L19">
        <f t="shared" si="5"/>
        <v>0</v>
      </c>
      <c r="M19">
        <f t="shared" si="5"/>
        <v>0</v>
      </c>
      <c r="N19">
        <f t="shared" si="5"/>
        <v>0</v>
      </c>
      <c r="O19">
        <f t="shared" si="5"/>
        <v>0</v>
      </c>
      <c r="P19">
        <f t="shared" si="5"/>
        <v>0</v>
      </c>
      <c r="Q19">
        <f t="shared" si="5"/>
        <v>2</v>
      </c>
      <c r="R19">
        <f t="shared" si="5"/>
        <v>0</v>
      </c>
      <c r="S19">
        <f t="shared" si="5"/>
        <v>0</v>
      </c>
      <c r="T19">
        <f t="shared" si="5"/>
        <v>0</v>
      </c>
      <c r="U19">
        <f t="shared" si="5"/>
        <v>0</v>
      </c>
      <c r="V19">
        <f t="shared" si="5"/>
        <v>1</v>
      </c>
      <c r="W19">
        <f t="shared" si="5"/>
        <v>0</v>
      </c>
      <c r="X19">
        <f t="shared" si="5"/>
        <v>0</v>
      </c>
      <c r="Y19">
        <f t="shared" si="5"/>
        <v>0</v>
      </c>
      <c r="Z19">
        <f t="shared" si="5"/>
        <v>0</v>
      </c>
      <c r="AA19">
        <f t="shared" si="5"/>
        <v>2</v>
      </c>
      <c r="AB19">
        <f t="shared" si="5"/>
        <v>0</v>
      </c>
      <c r="AC19">
        <f t="shared" si="5"/>
        <v>0</v>
      </c>
      <c r="AD19">
        <f t="shared" si="5"/>
        <v>0</v>
      </c>
      <c r="AE19">
        <f t="shared" si="5"/>
        <v>0</v>
      </c>
      <c r="AF19">
        <f t="shared" si="5"/>
        <v>2</v>
      </c>
      <c r="AG19">
        <f t="shared" si="5"/>
        <v>0</v>
      </c>
      <c r="AH19">
        <f t="shared" si="5"/>
        <v>0</v>
      </c>
      <c r="AI19">
        <f t="shared" si="5"/>
        <v>0</v>
      </c>
      <c r="AJ19">
        <f t="shared" si="5"/>
        <v>0</v>
      </c>
      <c r="BR19" s="3"/>
    </row>
    <row r="21" spans="5:70" x14ac:dyDescent="0.2">
      <c r="F21" s="10" t="s">
        <v>23</v>
      </c>
      <c r="G21" s="2">
        <v>1</v>
      </c>
      <c r="H21" s="2">
        <v>2</v>
      </c>
      <c r="I21" s="2">
        <v>3</v>
      </c>
      <c r="J21" s="2">
        <v>4</v>
      </c>
      <c r="K21" s="2">
        <v>5</v>
      </c>
      <c r="L21" s="2">
        <v>6</v>
      </c>
      <c r="M21" s="2">
        <v>7</v>
      </c>
      <c r="N21" s="2">
        <v>8</v>
      </c>
      <c r="O21" s="2">
        <v>9</v>
      </c>
      <c r="P21" s="2">
        <v>10</v>
      </c>
      <c r="Q21" s="2">
        <v>11</v>
      </c>
      <c r="R21" s="2">
        <v>12</v>
      </c>
      <c r="S21" s="2">
        <v>13</v>
      </c>
      <c r="T21" s="2">
        <v>14</v>
      </c>
      <c r="U21" s="2">
        <v>15</v>
      </c>
      <c r="V21" s="2">
        <v>16</v>
      </c>
      <c r="W21" s="2">
        <v>17</v>
      </c>
      <c r="X21" s="2">
        <v>18</v>
      </c>
      <c r="Y21" s="2">
        <v>19</v>
      </c>
      <c r="Z21" s="2">
        <v>20</v>
      </c>
      <c r="AA21" s="2">
        <v>21</v>
      </c>
      <c r="AB21" s="2">
        <v>22</v>
      </c>
      <c r="AC21" s="2">
        <v>23</v>
      </c>
      <c r="AD21" s="2">
        <v>24</v>
      </c>
      <c r="AE21" s="2">
        <v>25</v>
      </c>
      <c r="AF21" s="2">
        <v>26</v>
      </c>
      <c r="AG21" s="2">
        <v>27</v>
      </c>
      <c r="AH21" s="2">
        <v>28</v>
      </c>
      <c r="AI21" s="2">
        <v>29</v>
      </c>
      <c r="AJ21" s="2">
        <v>30</v>
      </c>
    </row>
    <row r="22" spans="5:70" x14ac:dyDescent="0.2">
      <c r="F22" s="3" t="s">
        <v>33</v>
      </c>
      <c r="G22">
        <f>IF(G7&gt;0,E3,0)</f>
        <v>3</v>
      </c>
      <c r="H22">
        <f t="shared" ref="H22:AJ22" si="6">IF(H7=0,G22-1,$E3)</f>
        <v>2</v>
      </c>
      <c r="I22">
        <f t="shared" si="6"/>
        <v>1</v>
      </c>
      <c r="J22">
        <f t="shared" si="6"/>
        <v>0</v>
      </c>
      <c r="K22">
        <f t="shared" si="6"/>
        <v>-1</v>
      </c>
      <c r="L22">
        <f t="shared" si="6"/>
        <v>3</v>
      </c>
      <c r="M22">
        <f t="shared" si="6"/>
        <v>2</v>
      </c>
      <c r="N22">
        <f t="shared" si="6"/>
        <v>1</v>
      </c>
      <c r="O22">
        <f t="shared" si="6"/>
        <v>0</v>
      </c>
      <c r="P22">
        <f t="shared" si="6"/>
        <v>-1</v>
      </c>
      <c r="Q22">
        <f t="shared" si="6"/>
        <v>3</v>
      </c>
      <c r="R22">
        <f t="shared" si="6"/>
        <v>2</v>
      </c>
      <c r="S22">
        <f t="shared" si="6"/>
        <v>1</v>
      </c>
      <c r="T22">
        <f t="shared" si="6"/>
        <v>0</v>
      </c>
      <c r="U22">
        <f t="shared" si="6"/>
        <v>-1</v>
      </c>
      <c r="V22">
        <f t="shared" si="6"/>
        <v>3</v>
      </c>
      <c r="W22">
        <f t="shared" si="6"/>
        <v>2</v>
      </c>
      <c r="X22">
        <f t="shared" si="6"/>
        <v>1</v>
      </c>
      <c r="Y22">
        <f t="shared" si="6"/>
        <v>0</v>
      </c>
      <c r="Z22">
        <f t="shared" si="6"/>
        <v>-1</v>
      </c>
      <c r="AA22">
        <f t="shared" si="6"/>
        <v>3</v>
      </c>
      <c r="AB22">
        <f t="shared" si="6"/>
        <v>2</v>
      </c>
      <c r="AC22">
        <f t="shared" si="6"/>
        <v>1</v>
      </c>
      <c r="AD22">
        <f t="shared" si="6"/>
        <v>0</v>
      </c>
      <c r="AE22">
        <f t="shared" si="6"/>
        <v>-1</v>
      </c>
      <c r="AF22">
        <f t="shared" si="6"/>
        <v>3</v>
      </c>
      <c r="AG22">
        <f t="shared" si="6"/>
        <v>2</v>
      </c>
      <c r="AH22">
        <f t="shared" si="6"/>
        <v>1</v>
      </c>
      <c r="AI22">
        <f t="shared" si="6"/>
        <v>0</v>
      </c>
      <c r="AJ22">
        <f t="shared" si="6"/>
        <v>-1</v>
      </c>
    </row>
    <row r="23" spans="5:70" x14ac:dyDescent="0.2">
      <c r="F23" s="3"/>
    </row>
    <row r="24" spans="5:70" x14ac:dyDescent="0.2">
      <c r="F24" s="10" t="s">
        <v>19</v>
      </c>
      <c r="G24" s="2">
        <v>1</v>
      </c>
      <c r="H24" s="2">
        <v>2</v>
      </c>
      <c r="I24" s="2">
        <v>3</v>
      </c>
      <c r="J24" s="2">
        <v>4</v>
      </c>
      <c r="K24" s="2">
        <v>5</v>
      </c>
      <c r="L24" s="2">
        <v>6</v>
      </c>
      <c r="M24" s="2">
        <v>7</v>
      </c>
      <c r="N24" s="2">
        <v>8</v>
      </c>
      <c r="O24" s="2">
        <v>9</v>
      </c>
      <c r="P24" s="2">
        <v>10</v>
      </c>
      <c r="Q24" s="2">
        <v>11</v>
      </c>
      <c r="R24" s="2">
        <v>12</v>
      </c>
      <c r="S24" s="2">
        <v>13</v>
      </c>
      <c r="T24" s="2">
        <v>14</v>
      </c>
      <c r="U24" s="2">
        <v>15</v>
      </c>
      <c r="V24" s="2">
        <v>16</v>
      </c>
      <c r="W24" s="2">
        <v>17</v>
      </c>
      <c r="X24" s="2">
        <v>18</v>
      </c>
      <c r="Y24" s="2">
        <v>19</v>
      </c>
      <c r="Z24" s="2">
        <v>20</v>
      </c>
      <c r="AA24" s="2">
        <v>21</v>
      </c>
      <c r="AB24" s="2">
        <v>22</v>
      </c>
      <c r="AC24" s="2">
        <v>23</v>
      </c>
      <c r="AD24" s="2">
        <v>24</v>
      </c>
      <c r="AE24" s="2">
        <v>25</v>
      </c>
      <c r="AF24" s="2">
        <v>26</v>
      </c>
      <c r="AG24" s="2">
        <v>27</v>
      </c>
      <c r="AH24" s="2">
        <v>28</v>
      </c>
      <c r="AI24" s="2">
        <v>29</v>
      </c>
      <c r="AJ24" s="2">
        <v>30</v>
      </c>
      <c r="BO24" s="14"/>
      <c r="BP24" s="14"/>
      <c r="BQ24" s="14"/>
      <c r="BR24" s="3"/>
    </row>
    <row r="25" spans="5:70" x14ac:dyDescent="0.2">
      <c r="F25" s="3" t="s">
        <v>33</v>
      </c>
      <c r="G25">
        <f t="shared" ref="G25:AJ25" si="7">G7*$C9</f>
        <v>4</v>
      </c>
      <c r="H25">
        <f t="shared" si="7"/>
        <v>0</v>
      </c>
      <c r="I25">
        <f t="shared" si="7"/>
        <v>0</v>
      </c>
      <c r="J25">
        <f t="shared" si="7"/>
        <v>0</v>
      </c>
      <c r="K25">
        <f t="shared" si="7"/>
        <v>0</v>
      </c>
      <c r="L25">
        <f t="shared" si="7"/>
        <v>1</v>
      </c>
      <c r="M25">
        <f t="shared" si="7"/>
        <v>0</v>
      </c>
      <c r="N25">
        <f t="shared" si="7"/>
        <v>0</v>
      </c>
      <c r="O25">
        <f t="shared" si="7"/>
        <v>0</v>
      </c>
      <c r="P25">
        <f t="shared" si="7"/>
        <v>0</v>
      </c>
      <c r="Q25">
        <f t="shared" si="7"/>
        <v>2</v>
      </c>
      <c r="R25">
        <f t="shared" si="7"/>
        <v>0</v>
      </c>
      <c r="S25">
        <f t="shared" si="7"/>
        <v>0</v>
      </c>
      <c r="T25">
        <f t="shared" si="7"/>
        <v>0</v>
      </c>
      <c r="U25">
        <f t="shared" si="7"/>
        <v>0</v>
      </c>
      <c r="V25">
        <f t="shared" si="7"/>
        <v>1</v>
      </c>
      <c r="W25">
        <f t="shared" si="7"/>
        <v>0</v>
      </c>
      <c r="X25">
        <f t="shared" si="7"/>
        <v>0</v>
      </c>
      <c r="Y25">
        <f t="shared" si="7"/>
        <v>0</v>
      </c>
      <c r="Z25">
        <f t="shared" si="7"/>
        <v>0</v>
      </c>
      <c r="AA25">
        <f t="shared" si="7"/>
        <v>2</v>
      </c>
      <c r="AB25">
        <f t="shared" si="7"/>
        <v>0</v>
      </c>
      <c r="AC25">
        <f t="shared" si="7"/>
        <v>0</v>
      </c>
      <c r="AD25">
        <f t="shared" si="7"/>
        <v>0</v>
      </c>
      <c r="AE25">
        <f t="shared" si="7"/>
        <v>0</v>
      </c>
      <c r="AF25">
        <f t="shared" si="7"/>
        <v>2</v>
      </c>
      <c r="AG25">
        <f t="shared" si="7"/>
        <v>0</v>
      </c>
      <c r="AH25">
        <f t="shared" si="7"/>
        <v>0</v>
      </c>
      <c r="AI25">
        <f t="shared" si="7"/>
        <v>0</v>
      </c>
      <c r="AJ25">
        <f t="shared" si="7"/>
        <v>0</v>
      </c>
      <c r="BR25" s="3"/>
    </row>
    <row r="26" spans="5:70" x14ac:dyDescent="0.2">
      <c r="F26" s="3"/>
      <c r="BR26" s="3"/>
    </row>
    <row r="27" spans="5:70" x14ac:dyDescent="0.2">
      <c r="F27" s="10" t="s">
        <v>24</v>
      </c>
      <c r="G27" s="2">
        <v>1</v>
      </c>
      <c r="H27" s="2">
        <v>2</v>
      </c>
      <c r="I27" s="2">
        <v>3</v>
      </c>
      <c r="J27" s="2">
        <v>4</v>
      </c>
      <c r="K27" s="2">
        <v>5</v>
      </c>
      <c r="L27" s="2">
        <v>6</v>
      </c>
      <c r="M27" s="2">
        <v>7</v>
      </c>
      <c r="N27" s="2">
        <v>8</v>
      </c>
      <c r="O27" s="2">
        <v>9</v>
      </c>
      <c r="P27" s="2">
        <v>10</v>
      </c>
      <c r="Q27" s="2">
        <v>11</v>
      </c>
      <c r="R27" s="2">
        <v>12</v>
      </c>
      <c r="S27" s="2">
        <v>13</v>
      </c>
      <c r="T27" s="2">
        <v>14</v>
      </c>
      <c r="U27" s="2">
        <v>15</v>
      </c>
      <c r="V27" s="2">
        <v>16</v>
      </c>
      <c r="W27" s="2">
        <v>17</v>
      </c>
      <c r="X27" s="2">
        <v>18</v>
      </c>
      <c r="Y27" s="2">
        <v>19</v>
      </c>
      <c r="Z27" s="2">
        <v>20</v>
      </c>
      <c r="AA27" s="2">
        <v>21</v>
      </c>
      <c r="AB27" s="2">
        <v>22</v>
      </c>
      <c r="AC27" s="2">
        <v>23</v>
      </c>
      <c r="AD27" s="2">
        <v>24</v>
      </c>
      <c r="AE27" s="2">
        <v>25</v>
      </c>
      <c r="AF27" s="2">
        <v>26</v>
      </c>
      <c r="AG27" s="2">
        <v>27</v>
      </c>
      <c r="AH27" s="2">
        <v>28</v>
      </c>
      <c r="AI27" s="2">
        <v>29</v>
      </c>
      <c r="AJ27" s="2">
        <v>30</v>
      </c>
      <c r="BR27" s="3"/>
    </row>
    <row r="28" spans="5:70" x14ac:dyDescent="0.2">
      <c r="F28" s="3" t="s">
        <v>33</v>
      </c>
      <c r="G28">
        <v>0</v>
      </c>
      <c r="H28">
        <f t="shared" ref="H28:AJ28" si="8">IF(H15=0,IF(H22=0, H19, IF(G11-H3&lt;0,0,G11-H3)),IF(H22=0,IF(G19-H3&lt;0,0,G19-H3),0))</f>
        <v>0</v>
      </c>
      <c r="I28">
        <f t="shared" si="8"/>
        <v>0</v>
      </c>
      <c r="J28">
        <f t="shared" si="8"/>
        <v>0</v>
      </c>
      <c r="K28">
        <f t="shared" si="8"/>
        <v>0</v>
      </c>
      <c r="L28">
        <f t="shared" si="8"/>
        <v>0</v>
      </c>
      <c r="M28">
        <f t="shared" si="8"/>
        <v>0</v>
      </c>
      <c r="N28">
        <f t="shared" si="8"/>
        <v>0</v>
      </c>
      <c r="O28">
        <f t="shared" si="8"/>
        <v>0</v>
      </c>
      <c r="P28">
        <f t="shared" si="8"/>
        <v>0</v>
      </c>
      <c r="Q28">
        <f t="shared" si="8"/>
        <v>0</v>
      </c>
      <c r="R28">
        <f t="shared" si="8"/>
        <v>0</v>
      </c>
      <c r="S28">
        <f t="shared" si="8"/>
        <v>0</v>
      </c>
      <c r="T28">
        <f t="shared" si="8"/>
        <v>0</v>
      </c>
      <c r="U28">
        <f t="shared" si="8"/>
        <v>0</v>
      </c>
      <c r="V28">
        <f t="shared" si="8"/>
        <v>0</v>
      </c>
      <c r="W28">
        <f t="shared" si="8"/>
        <v>0</v>
      </c>
      <c r="X28">
        <f t="shared" si="8"/>
        <v>0</v>
      </c>
      <c r="Y28">
        <f t="shared" si="8"/>
        <v>0</v>
      </c>
      <c r="Z28">
        <f t="shared" si="8"/>
        <v>0</v>
      </c>
      <c r="AA28">
        <f t="shared" si="8"/>
        <v>0</v>
      </c>
      <c r="AB28">
        <f t="shared" si="8"/>
        <v>0</v>
      </c>
      <c r="AC28">
        <f t="shared" si="8"/>
        <v>0</v>
      </c>
      <c r="AD28">
        <f t="shared" si="8"/>
        <v>0</v>
      </c>
      <c r="AE28">
        <f t="shared" si="8"/>
        <v>0</v>
      </c>
      <c r="AF28">
        <f t="shared" si="8"/>
        <v>0</v>
      </c>
      <c r="AG28">
        <f t="shared" si="8"/>
        <v>0</v>
      </c>
      <c r="AH28">
        <f t="shared" si="8"/>
        <v>0</v>
      </c>
      <c r="AI28">
        <f t="shared" si="8"/>
        <v>0</v>
      </c>
      <c r="AJ28">
        <f t="shared" si="8"/>
        <v>0</v>
      </c>
      <c r="BR28" s="3"/>
    </row>
    <row r="29" spans="5:70" x14ac:dyDescent="0.2">
      <c r="E29" s="3" t="s">
        <v>33</v>
      </c>
      <c r="F29">
        <v>1</v>
      </c>
      <c r="G29">
        <f>G$6</f>
        <v>1</v>
      </c>
      <c r="AK29">
        <f t="shared" ref="AK29:AK58" si="9">SUMPRODUCT($G$7:$AJ$7,G29:AJ29)</f>
        <v>4</v>
      </c>
      <c r="AL29" t="s">
        <v>16</v>
      </c>
      <c r="AM29">
        <f ca="1">IF(G6=1,SUM(OFFSET(G3,0,0,1,$AM$2)),0)</f>
        <v>4</v>
      </c>
      <c r="BR29" s="3"/>
    </row>
    <row r="30" spans="5:70" x14ac:dyDescent="0.2">
      <c r="F30">
        <v>2</v>
      </c>
      <c r="H30">
        <v>1</v>
      </c>
      <c r="AK30">
        <f t="shared" si="9"/>
        <v>0</v>
      </c>
      <c r="AL30" t="s">
        <v>16</v>
      </c>
      <c r="AM30">
        <f ca="1">H13</f>
        <v>0</v>
      </c>
      <c r="BR30" s="3"/>
    </row>
    <row r="31" spans="5:70" x14ac:dyDescent="0.2">
      <c r="F31">
        <v>3</v>
      </c>
      <c r="I31">
        <v>1</v>
      </c>
      <c r="AK31">
        <f t="shared" si="9"/>
        <v>0</v>
      </c>
      <c r="AL31" t="s">
        <v>16</v>
      </c>
      <c r="AM31">
        <f ca="1">I13</f>
        <v>0</v>
      </c>
      <c r="BR31" s="3"/>
    </row>
    <row r="32" spans="5:70" x14ac:dyDescent="0.2">
      <c r="F32">
        <v>4</v>
      </c>
      <c r="J32">
        <v>1</v>
      </c>
      <c r="AK32">
        <f t="shared" si="9"/>
        <v>0</v>
      </c>
      <c r="AL32" t="s">
        <v>16</v>
      </c>
      <c r="AM32">
        <f ca="1">J13</f>
        <v>0</v>
      </c>
      <c r="BR32" s="3"/>
    </row>
    <row r="33" spans="6:70" ht="15.5" x14ac:dyDescent="0.2">
      <c r="F33">
        <v>5</v>
      </c>
      <c r="K33">
        <v>1</v>
      </c>
      <c r="AK33">
        <f t="shared" si="9"/>
        <v>0</v>
      </c>
      <c r="AL33" t="s">
        <v>16</v>
      </c>
      <c r="AM33">
        <f ca="1">K13</f>
        <v>0</v>
      </c>
    </row>
    <row r="34" spans="6:70" ht="15.5" x14ac:dyDescent="0.2">
      <c r="F34">
        <v>6</v>
      </c>
      <c r="L34">
        <v>1</v>
      </c>
      <c r="AK34">
        <f t="shared" si="9"/>
        <v>1</v>
      </c>
      <c r="AL34" t="s">
        <v>16</v>
      </c>
      <c r="AM34">
        <f ca="1">L13</f>
        <v>1</v>
      </c>
    </row>
    <row r="35" spans="6:70" x14ac:dyDescent="0.2">
      <c r="F35">
        <v>7</v>
      </c>
      <c r="M35">
        <v>1</v>
      </c>
      <c r="AK35">
        <f t="shared" si="9"/>
        <v>0</v>
      </c>
      <c r="AL35" t="s">
        <v>16</v>
      </c>
      <c r="AM35">
        <f ca="1">M13</f>
        <v>0</v>
      </c>
      <c r="BR35" s="3"/>
    </row>
    <row r="36" spans="6:70" x14ac:dyDescent="0.2">
      <c r="F36">
        <v>8</v>
      </c>
      <c r="N36">
        <f>N$6</f>
        <v>0</v>
      </c>
      <c r="AK36">
        <f t="shared" si="9"/>
        <v>0</v>
      </c>
      <c r="AL36" t="s">
        <v>16</v>
      </c>
      <c r="AM36">
        <f ca="1">N13</f>
        <v>0</v>
      </c>
      <c r="BR36" s="3"/>
    </row>
    <row r="37" spans="6:70" x14ac:dyDescent="0.2">
      <c r="F37">
        <v>9</v>
      </c>
      <c r="O37">
        <v>1</v>
      </c>
      <c r="AK37">
        <f t="shared" si="9"/>
        <v>0</v>
      </c>
      <c r="AL37" t="s">
        <v>16</v>
      </c>
      <c r="AM37">
        <f ca="1">O13</f>
        <v>0</v>
      </c>
      <c r="BR37" s="3"/>
    </row>
    <row r="38" spans="6:70" x14ac:dyDescent="0.2">
      <c r="F38">
        <v>10</v>
      </c>
      <c r="P38">
        <v>1</v>
      </c>
      <c r="AK38">
        <f t="shared" si="9"/>
        <v>0</v>
      </c>
      <c r="AL38" t="s">
        <v>16</v>
      </c>
      <c r="AM38">
        <f ca="1">P13</f>
        <v>0</v>
      </c>
      <c r="BR38" s="3"/>
    </row>
    <row r="39" spans="6:70" x14ac:dyDescent="0.2">
      <c r="F39">
        <v>11</v>
      </c>
      <c r="Q39">
        <v>1</v>
      </c>
      <c r="AK39">
        <f t="shared" si="9"/>
        <v>2</v>
      </c>
      <c r="AL39" t="s">
        <v>16</v>
      </c>
      <c r="AM39">
        <f ca="1">Q13</f>
        <v>2</v>
      </c>
      <c r="BR39" s="3"/>
    </row>
    <row r="40" spans="6:70" x14ac:dyDescent="0.2">
      <c r="F40">
        <v>12</v>
      </c>
      <c r="R40">
        <v>1</v>
      </c>
      <c r="AK40">
        <f t="shared" si="9"/>
        <v>0</v>
      </c>
      <c r="AL40" t="s">
        <v>16</v>
      </c>
      <c r="AM40">
        <f ca="1">R13</f>
        <v>0</v>
      </c>
      <c r="BR40" s="3"/>
    </row>
    <row r="41" spans="6:70" x14ac:dyDescent="0.2">
      <c r="F41">
        <v>13</v>
      </c>
      <c r="S41">
        <v>1</v>
      </c>
      <c r="AK41">
        <f t="shared" si="9"/>
        <v>0</v>
      </c>
      <c r="AL41" t="s">
        <v>16</v>
      </c>
      <c r="AM41">
        <f ca="1">S13</f>
        <v>0</v>
      </c>
      <c r="BR41" s="3"/>
    </row>
    <row r="42" spans="6:70" ht="15.5" x14ac:dyDescent="0.2">
      <c r="F42">
        <v>14</v>
      </c>
      <c r="T42">
        <v>1</v>
      </c>
      <c r="AK42">
        <f t="shared" si="9"/>
        <v>0</v>
      </c>
      <c r="AL42" t="s">
        <v>16</v>
      </c>
      <c r="AM42">
        <f ca="1">T13</f>
        <v>0</v>
      </c>
    </row>
    <row r="43" spans="6:70" ht="15.5" x14ac:dyDescent="0.2">
      <c r="F43">
        <v>15</v>
      </c>
      <c r="U43">
        <f>U$6</f>
        <v>0</v>
      </c>
      <c r="AK43">
        <f t="shared" si="9"/>
        <v>0</v>
      </c>
      <c r="AL43" t="s">
        <v>16</v>
      </c>
      <c r="AM43">
        <f ca="1">U13</f>
        <v>0</v>
      </c>
    </row>
    <row r="44" spans="6:70" ht="15.5" x14ac:dyDescent="0.2">
      <c r="F44">
        <v>16</v>
      </c>
      <c r="V44">
        <v>1</v>
      </c>
      <c r="AK44">
        <f t="shared" si="9"/>
        <v>1</v>
      </c>
      <c r="AL44" t="s">
        <v>16</v>
      </c>
      <c r="AM44">
        <f ca="1">V13</f>
        <v>1</v>
      </c>
    </row>
    <row r="45" spans="6:70" x14ac:dyDescent="0.2">
      <c r="F45">
        <v>17</v>
      </c>
      <c r="W45">
        <v>1</v>
      </c>
      <c r="AK45">
        <f t="shared" si="9"/>
        <v>0</v>
      </c>
      <c r="AL45" t="s">
        <v>16</v>
      </c>
      <c r="AM45">
        <f ca="1">W13</f>
        <v>0</v>
      </c>
      <c r="BR45" s="3"/>
    </row>
    <row r="46" spans="6:70" x14ac:dyDescent="0.2">
      <c r="F46">
        <v>18</v>
      </c>
      <c r="X46">
        <v>1</v>
      </c>
      <c r="AK46">
        <f t="shared" si="9"/>
        <v>0</v>
      </c>
      <c r="AL46" t="s">
        <v>16</v>
      </c>
      <c r="AM46">
        <f ca="1">X13</f>
        <v>0</v>
      </c>
      <c r="BR46" s="3"/>
    </row>
    <row r="47" spans="6:70" x14ac:dyDescent="0.2">
      <c r="F47">
        <v>19</v>
      </c>
      <c r="Y47">
        <v>1</v>
      </c>
      <c r="AK47">
        <f t="shared" si="9"/>
        <v>0</v>
      </c>
      <c r="AL47" t="s">
        <v>16</v>
      </c>
      <c r="AM47">
        <f ca="1">Y13</f>
        <v>0</v>
      </c>
      <c r="BR47" s="3"/>
    </row>
    <row r="48" spans="6:70" x14ac:dyDescent="0.2">
      <c r="F48">
        <v>20</v>
      </c>
      <c r="Z48">
        <v>1</v>
      </c>
      <c r="AK48">
        <f t="shared" si="9"/>
        <v>0</v>
      </c>
      <c r="AL48" t="s">
        <v>16</v>
      </c>
      <c r="AM48">
        <f ca="1">Z13</f>
        <v>0</v>
      </c>
      <c r="BR48" s="3"/>
    </row>
    <row r="49" spans="6:70" x14ac:dyDescent="0.2">
      <c r="F49">
        <v>21</v>
      </c>
      <c r="AA49">
        <v>1</v>
      </c>
      <c r="AK49">
        <f t="shared" si="9"/>
        <v>2</v>
      </c>
      <c r="AL49" t="s">
        <v>16</v>
      </c>
      <c r="AM49">
        <f ca="1">AA13</f>
        <v>2</v>
      </c>
      <c r="BR49" s="3"/>
    </row>
    <row r="50" spans="6:70" x14ac:dyDescent="0.2">
      <c r="F50">
        <v>22</v>
      </c>
      <c r="AB50">
        <f>AB$6</f>
        <v>0</v>
      </c>
      <c r="AK50">
        <f t="shared" si="9"/>
        <v>0</v>
      </c>
      <c r="AL50" t="s">
        <v>16</v>
      </c>
      <c r="AM50">
        <f ca="1">AB13</f>
        <v>0</v>
      </c>
      <c r="BR50" s="3"/>
    </row>
    <row r="51" spans="6:70" x14ac:dyDescent="0.2">
      <c r="F51">
        <v>23</v>
      </c>
      <c r="AC51">
        <v>1</v>
      </c>
      <c r="AK51">
        <f t="shared" si="9"/>
        <v>0</v>
      </c>
      <c r="AL51" t="s">
        <v>16</v>
      </c>
      <c r="AM51">
        <f ca="1">AC13</f>
        <v>0</v>
      </c>
      <c r="BR51" s="3"/>
    </row>
    <row r="52" spans="6:70" ht="15.5" x14ac:dyDescent="0.2">
      <c r="F52">
        <v>24</v>
      </c>
      <c r="AD52">
        <v>1</v>
      </c>
      <c r="AK52">
        <f t="shared" si="9"/>
        <v>0</v>
      </c>
      <c r="AL52" t="s">
        <v>16</v>
      </c>
      <c r="AM52">
        <f ca="1">AD13</f>
        <v>0</v>
      </c>
    </row>
    <row r="53" spans="6:70" x14ac:dyDescent="0.2">
      <c r="F53">
        <v>25</v>
      </c>
      <c r="AE53">
        <v>1</v>
      </c>
      <c r="AK53">
        <f t="shared" si="9"/>
        <v>0</v>
      </c>
      <c r="AL53" t="s">
        <v>16</v>
      </c>
      <c r="AM53">
        <f ca="1">AE13</f>
        <v>0</v>
      </c>
    </row>
    <row r="54" spans="6:70" x14ac:dyDescent="0.2">
      <c r="F54">
        <v>26</v>
      </c>
      <c r="AF54">
        <v>1</v>
      </c>
      <c r="AK54">
        <f t="shared" si="9"/>
        <v>2</v>
      </c>
      <c r="AL54" t="s">
        <v>16</v>
      </c>
      <c r="AM54">
        <f ca="1">AF13</f>
        <v>2</v>
      </c>
    </row>
    <row r="55" spans="6:70" x14ac:dyDescent="0.2">
      <c r="F55">
        <v>27</v>
      </c>
      <c r="AG55">
        <v>1</v>
      </c>
      <c r="AK55">
        <f t="shared" si="9"/>
        <v>0</v>
      </c>
      <c r="AL55" t="s">
        <v>16</v>
      </c>
      <c r="AM55">
        <f ca="1">AG13</f>
        <v>0</v>
      </c>
      <c r="BR55" s="3"/>
    </row>
    <row r="56" spans="6:70" x14ac:dyDescent="0.2">
      <c r="F56">
        <v>28</v>
      </c>
      <c r="AH56">
        <v>1</v>
      </c>
      <c r="AK56">
        <f t="shared" si="9"/>
        <v>0</v>
      </c>
      <c r="AL56" t="s">
        <v>16</v>
      </c>
      <c r="AM56">
        <f ca="1">AH13</f>
        <v>0</v>
      </c>
      <c r="BR56" s="3"/>
    </row>
    <row r="57" spans="6:70" x14ac:dyDescent="0.2">
      <c r="F57">
        <v>29</v>
      </c>
      <c r="AI57">
        <f>AI6</f>
        <v>0</v>
      </c>
      <c r="AK57">
        <f t="shared" si="9"/>
        <v>0</v>
      </c>
      <c r="AL57" t="s">
        <v>16</v>
      </c>
      <c r="AM57">
        <f ca="1">AI13</f>
        <v>0</v>
      </c>
      <c r="BR57" s="3"/>
    </row>
    <row r="58" spans="6:70" x14ac:dyDescent="0.2">
      <c r="F58">
        <v>30</v>
      </c>
      <c r="AJ58">
        <v>1</v>
      </c>
      <c r="AK58">
        <f t="shared" si="9"/>
        <v>0</v>
      </c>
      <c r="AL58" t="s">
        <v>16</v>
      </c>
      <c r="AM58">
        <f ca="1">AJ13</f>
        <v>0</v>
      </c>
      <c r="BR58" s="3"/>
    </row>
    <row r="59" spans="6:70" x14ac:dyDescent="0.2">
      <c r="BR59" s="3"/>
    </row>
    <row r="60" spans="6:70" x14ac:dyDescent="0.2">
      <c r="BR60" s="3"/>
    </row>
    <row r="61" spans="6:70" x14ac:dyDescent="0.2">
      <c r="BR61" s="3"/>
    </row>
    <row r="80" spans="2:66" x14ac:dyDescent="0.2"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</row>
    <row r="136" spans="2:66" x14ac:dyDescent="0.2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</row>
    <row r="164" spans="2:66" x14ac:dyDescent="0.2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</row>
    <row r="192" spans="2:66" x14ac:dyDescent="0.2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</row>
    <row r="220" spans="2:66" x14ac:dyDescent="0.2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</row>
  </sheetData>
  <conditionalFormatting sqref="BZ7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24:CT30 BS55:CT61 G19:AJ19 G28:AJ28">
    <cfRule type="cellIs" dxfId="5" priority="1" operator="lessThan">
      <formula>0</formula>
    </cfRule>
  </conditionalFormatting>
  <conditionalFormatting sqref="G6:AJ6">
    <cfRule type="colorScale" priority="3">
      <colorScale>
        <cfvo type="min"/>
        <cfvo type="max"/>
        <color theme="0"/>
        <color theme="7"/>
      </colorScale>
    </cfRule>
    <cfRule type="colorScale" priority="4">
      <colorScale>
        <cfvo type="min"/>
        <cfvo type="max"/>
        <color rgb="FF63BE7B"/>
        <color rgb="FFFFEF9C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2B5B2-C9D0-4811-8375-515F9B347D44}">
  <sheetPr codeName="Sheet5"/>
  <dimension ref="A1:BR220"/>
  <sheetViews>
    <sheetView zoomScale="80" zoomScaleNormal="80" workbookViewId="0">
      <selection activeCell="G7" sqref="G7:AJ7"/>
    </sheetView>
  </sheetViews>
  <sheetFormatPr baseColWidth="10" defaultColWidth="11" defaultRowHeight="16" x14ac:dyDescent="0.2"/>
  <cols>
    <col min="1" max="1" width="12" customWidth="1"/>
    <col min="3" max="3" width="12.6640625" customWidth="1"/>
    <col min="4" max="4" width="4.6640625" customWidth="1"/>
    <col min="5" max="5" width="8.6640625" bestFit="1" customWidth="1"/>
    <col min="6" max="6" width="9.6640625" bestFit="1" customWidth="1"/>
    <col min="7" max="36" width="4.6640625" customWidth="1"/>
    <col min="37" max="37" width="13.33203125" customWidth="1"/>
    <col min="39" max="39" width="9.6640625" customWidth="1"/>
    <col min="40" max="40" width="5.1640625" customWidth="1"/>
    <col min="41" max="41" width="4" customWidth="1"/>
    <col min="42" max="42" width="3.1640625" customWidth="1"/>
    <col min="43" max="47" width="2.6640625" customWidth="1"/>
    <col min="48" max="69" width="3.1640625" customWidth="1"/>
    <col min="70" max="70" width="15.5" customWidth="1"/>
    <col min="71" max="71" width="3.1640625" customWidth="1"/>
    <col min="72" max="72" width="3.6640625" customWidth="1"/>
    <col min="73" max="73" width="3.1640625" customWidth="1"/>
    <col min="74" max="98" width="3.6640625" customWidth="1"/>
    <col min="99" max="100" width="2.83203125" bestFit="1" customWidth="1"/>
    <col min="102" max="102" width="10.6640625" customWidth="1"/>
    <col min="103" max="103" width="14.6640625" customWidth="1"/>
  </cols>
  <sheetData>
    <row r="1" spans="1:70" x14ac:dyDescent="0.2">
      <c r="G1" s="5">
        <f t="shared" ref="G1:AJ1" si="0">G2/$AM$2</f>
        <v>0.2</v>
      </c>
      <c r="H1" s="5">
        <f t="shared" si="0"/>
        <v>0.4</v>
      </c>
      <c r="I1" s="5">
        <f t="shared" si="0"/>
        <v>0.6</v>
      </c>
      <c r="J1" s="5">
        <f t="shared" si="0"/>
        <v>0.8</v>
      </c>
      <c r="K1" s="5">
        <f t="shared" si="0"/>
        <v>1</v>
      </c>
      <c r="L1" s="5">
        <f t="shared" si="0"/>
        <v>1.2</v>
      </c>
      <c r="M1" s="5">
        <f t="shared" si="0"/>
        <v>1.4</v>
      </c>
      <c r="N1" s="5">
        <f t="shared" si="0"/>
        <v>1.6</v>
      </c>
      <c r="O1" s="5">
        <f t="shared" si="0"/>
        <v>1.8</v>
      </c>
      <c r="P1" s="5">
        <f t="shared" si="0"/>
        <v>2</v>
      </c>
      <c r="Q1" s="5">
        <f t="shared" si="0"/>
        <v>2.2000000000000002</v>
      </c>
      <c r="R1" s="5">
        <f t="shared" si="0"/>
        <v>2.4</v>
      </c>
      <c r="S1" s="5">
        <f t="shared" si="0"/>
        <v>2.6</v>
      </c>
      <c r="T1" s="5">
        <f t="shared" si="0"/>
        <v>2.8</v>
      </c>
      <c r="U1" s="5">
        <f t="shared" si="0"/>
        <v>3</v>
      </c>
      <c r="V1" s="5">
        <f t="shared" si="0"/>
        <v>3.2</v>
      </c>
      <c r="W1" s="5">
        <f t="shared" si="0"/>
        <v>3.4</v>
      </c>
      <c r="X1" s="5">
        <f t="shared" si="0"/>
        <v>3.6</v>
      </c>
      <c r="Y1" s="5">
        <f t="shared" si="0"/>
        <v>3.8</v>
      </c>
      <c r="Z1" s="5">
        <f t="shared" si="0"/>
        <v>4</v>
      </c>
      <c r="AA1" s="5">
        <f t="shared" si="0"/>
        <v>4.2</v>
      </c>
      <c r="AB1" s="5">
        <f t="shared" si="0"/>
        <v>4.4000000000000004</v>
      </c>
      <c r="AC1" s="5">
        <f t="shared" si="0"/>
        <v>4.5999999999999996</v>
      </c>
      <c r="AD1" s="5">
        <f t="shared" si="0"/>
        <v>4.8</v>
      </c>
      <c r="AE1" s="5">
        <f t="shared" si="0"/>
        <v>5</v>
      </c>
      <c r="AF1" s="5">
        <f t="shared" si="0"/>
        <v>5.2</v>
      </c>
      <c r="AG1" s="5">
        <f t="shared" si="0"/>
        <v>5.4</v>
      </c>
      <c r="AH1" s="5">
        <f t="shared" si="0"/>
        <v>5.6</v>
      </c>
      <c r="AI1" s="5">
        <f t="shared" si="0"/>
        <v>5.8</v>
      </c>
      <c r="AJ1" s="5">
        <f t="shared" si="0"/>
        <v>6</v>
      </c>
    </row>
    <row r="2" spans="1:70" ht="17" thickBot="1" x14ac:dyDescent="0.25">
      <c r="A2" s="20" t="s">
        <v>27</v>
      </c>
      <c r="E2" s="11" t="s">
        <v>0</v>
      </c>
      <c r="F2" s="11" t="s">
        <v>1</v>
      </c>
      <c r="G2" s="10">
        <v>1</v>
      </c>
      <c r="H2" s="10">
        <v>2</v>
      </c>
      <c r="I2" s="10">
        <v>3</v>
      </c>
      <c r="J2" s="10">
        <v>4</v>
      </c>
      <c r="K2" s="10">
        <v>5</v>
      </c>
      <c r="L2" s="10">
        <v>6</v>
      </c>
      <c r="M2" s="10">
        <v>7</v>
      </c>
      <c r="N2" s="10">
        <v>8</v>
      </c>
      <c r="O2" s="10">
        <v>9</v>
      </c>
      <c r="P2" s="10">
        <v>10</v>
      </c>
      <c r="Q2" s="10">
        <v>11</v>
      </c>
      <c r="R2" s="10">
        <v>12</v>
      </c>
      <c r="S2" s="10">
        <v>13</v>
      </c>
      <c r="T2" s="10">
        <v>14</v>
      </c>
      <c r="U2" s="10">
        <v>15</v>
      </c>
      <c r="V2" s="10">
        <v>16</v>
      </c>
      <c r="W2" s="10">
        <v>17</v>
      </c>
      <c r="X2" s="10">
        <v>18</v>
      </c>
      <c r="Y2" s="10">
        <v>19</v>
      </c>
      <c r="Z2" s="10">
        <v>20</v>
      </c>
      <c r="AA2" s="10">
        <v>21</v>
      </c>
      <c r="AB2" s="10">
        <v>22</v>
      </c>
      <c r="AC2" s="10">
        <v>23</v>
      </c>
      <c r="AD2" s="10">
        <v>24</v>
      </c>
      <c r="AE2" s="10">
        <v>25</v>
      </c>
      <c r="AF2" s="10">
        <v>26</v>
      </c>
      <c r="AG2" s="10">
        <v>27</v>
      </c>
      <c r="AH2" s="10">
        <v>28</v>
      </c>
      <c r="AI2" s="10">
        <v>29</v>
      </c>
      <c r="AJ2" s="10">
        <v>30</v>
      </c>
      <c r="AL2" t="s">
        <v>2</v>
      </c>
      <c r="AM2" s="7">
        <f>'Inputs and Outputs'!B2</f>
        <v>5</v>
      </c>
      <c r="AP2" s="2"/>
    </row>
    <row r="3" spans="1:70" x14ac:dyDescent="0.2">
      <c r="A3" t="s">
        <v>28</v>
      </c>
      <c r="B3" s="22"/>
      <c r="E3" s="21">
        <v>3</v>
      </c>
      <c r="F3" s="3" t="s">
        <v>34</v>
      </c>
      <c r="G3" s="9">
        <f>'Inputs and Outputs'!E7</f>
        <v>2</v>
      </c>
      <c r="H3" s="9">
        <f>'Inputs and Outputs'!F7</f>
        <v>0</v>
      </c>
      <c r="I3" s="9">
        <f>'Inputs and Outputs'!G7</f>
        <v>1</v>
      </c>
      <c r="J3" s="9">
        <f>'Inputs and Outputs'!H7</f>
        <v>0</v>
      </c>
      <c r="K3" s="9">
        <f>'Inputs and Outputs'!I7</f>
        <v>0</v>
      </c>
      <c r="L3" s="9">
        <f>'Inputs and Outputs'!J7</f>
        <v>0</v>
      </c>
      <c r="M3" s="9">
        <f>'Inputs and Outputs'!K7</f>
        <v>1</v>
      </c>
      <c r="N3" s="9">
        <f>'Inputs and Outputs'!L7</f>
        <v>0</v>
      </c>
      <c r="O3" s="9">
        <f>'Inputs and Outputs'!M7</f>
        <v>0</v>
      </c>
      <c r="P3" s="9">
        <f>'Inputs and Outputs'!N7</f>
        <v>0</v>
      </c>
      <c r="Q3" s="9">
        <f>'Inputs and Outputs'!O7</f>
        <v>0</v>
      </c>
      <c r="R3" s="9">
        <f>'Inputs and Outputs'!P7</f>
        <v>1</v>
      </c>
      <c r="S3" s="9">
        <f>'Inputs and Outputs'!Q7</f>
        <v>0</v>
      </c>
      <c r="T3" s="9">
        <f>'Inputs and Outputs'!R7</f>
        <v>0</v>
      </c>
      <c r="U3" s="9">
        <f>'Inputs and Outputs'!S7</f>
        <v>0</v>
      </c>
      <c r="V3" s="9">
        <f>'Inputs and Outputs'!T7</f>
        <v>1</v>
      </c>
      <c r="W3" s="9">
        <f>'Inputs and Outputs'!U7</f>
        <v>1</v>
      </c>
      <c r="X3" s="9">
        <f>'Inputs and Outputs'!V7</f>
        <v>1</v>
      </c>
      <c r="Y3" s="9">
        <f>'Inputs and Outputs'!W7</f>
        <v>0</v>
      </c>
      <c r="Z3" s="9">
        <f>'Inputs and Outputs'!X7</f>
        <v>0</v>
      </c>
      <c r="AA3" s="9">
        <f>'Inputs and Outputs'!Y7</f>
        <v>0</v>
      </c>
      <c r="AB3" s="9">
        <f>'Inputs and Outputs'!Z7</f>
        <v>0</v>
      </c>
      <c r="AC3" s="9">
        <f>'Inputs and Outputs'!AA7</f>
        <v>1</v>
      </c>
      <c r="AD3" s="9">
        <f>'Inputs and Outputs'!AB7</f>
        <v>0</v>
      </c>
      <c r="AE3" s="9">
        <f>'Inputs and Outputs'!AC7</f>
        <v>0</v>
      </c>
      <c r="AF3" s="9">
        <f>'Inputs and Outputs'!AD7</f>
        <v>0</v>
      </c>
      <c r="AG3" s="9">
        <f>'Inputs and Outputs'!AE7</f>
        <v>0</v>
      </c>
      <c r="AH3" s="9">
        <f>'Inputs and Outputs'!AF7</f>
        <v>0</v>
      </c>
      <c r="AI3" s="9">
        <f>'Inputs and Outputs'!AG7</f>
        <v>1</v>
      </c>
      <c r="AJ3" s="9">
        <f>'Inputs and Outputs'!AH7</f>
        <v>0</v>
      </c>
      <c r="BR3" s="3"/>
    </row>
    <row r="4" spans="1:70" x14ac:dyDescent="0.2">
      <c r="A4" t="s">
        <v>29</v>
      </c>
      <c r="B4" s="4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</row>
    <row r="5" spans="1:70" x14ac:dyDescent="0.2">
      <c r="A5" t="s">
        <v>30</v>
      </c>
      <c r="B5" s="23"/>
      <c r="G5" s="10">
        <v>1</v>
      </c>
      <c r="H5" s="10">
        <v>2</v>
      </c>
      <c r="I5" s="10">
        <v>3</v>
      </c>
      <c r="J5" s="10">
        <v>4</v>
      </c>
      <c r="K5" s="10">
        <v>5</v>
      </c>
      <c r="L5" s="10">
        <v>6</v>
      </c>
      <c r="M5" s="10">
        <v>7</v>
      </c>
      <c r="N5" s="10">
        <v>8</v>
      </c>
      <c r="O5" s="10">
        <v>9</v>
      </c>
      <c r="P5" s="10">
        <v>10</v>
      </c>
      <c r="Q5" s="10">
        <v>11</v>
      </c>
      <c r="R5" s="10">
        <v>12</v>
      </c>
      <c r="S5" s="10">
        <v>13</v>
      </c>
      <c r="T5" s="10">
        <v>14</v>
      </c>
      <c r="U5" s="10">
        <v>15</v>
      </c>
      <c r="V5" s="10">
        <v>16</v>
      </c>
      <c r="W5" s="10">
        <v>17</v>
      </c>
      <c r="X5" s="10">
        <v>18</v>
      </c>
      <c r="Y5" s="10">
        <v>19</v>
      </c>
      <c r="Z5" s="10">
        <v>20</v>
      </c>
      <c r="AA5" s="10">
        <v>21</v>
      </c>
      <c r="AB5" s="10">
        <v>22</v>
      </c>
      <c r="AC5" s="10">
        <v>23</v>
      </c>
      <c r="AD5" s="10">
        <v>24</v>
      </c>
      <c r="AE5" s="10">
        <v>25</v>
      </c>
      <c r="AF5" s="10">
        <v>26</v>
      </c>
      <c r="AG5" s="10">
        <v>27</v>
      </c>
      <c r="AH5" s="10">
        <v>28</v>
      </c>
      <c r="AI5" s="10">
        <v>29</v>
      </c>
      <c r="AJ5" s="10">
        <v>30</v>
      </c>
      <c r="AK5" t="s">
        <v>21</v>
      </c>
    </row>
    <row r="6" spans="1:70" x14ac:dyDescent="0.2">
      <c r="F6" s="12" t="s">
        <v>14</v>
      </c>
      <c r="G6" s="13">
        <f>IF(AM2&gt;=1,1,0)</f>
        <v>1</v>
      </c>
      <c r="H6" s="13">
        <f t="shared" ref="H6:AJ6" si="1">IF(OR(G1=1,G1=2,G1=3,G1=4,G1=5,G1=6,G1=7,G1=8,G1=9,G1=10,G1=11,G1=12,G1=13,G1=14),1,0)</f>
        <v>0</v>
      </c>
      <c r="I6" s="13">
        <f t="shared" si="1"/>
        <v>0</v>
      </c>
      <c r="J6" s="13">
        <f t="shared" si="1"/>
        <v>0</v>
      </c>
      <c r="K6" s="13">
        <f t="shared" si="1"/>
        <v>0</v>
      </c>
      <c r="L6" s="13">
        <f t="shared" si="1"/>
        <v>1</v>
      </c>
      <c r="M6" s="13">
        <f t="shared" si="1"/>
        <v>0</v>
      </c>
      <c r="N6" s="13">
        <f t="shared" si="1"/>
        <v>0</v>
      </c>
      <c r="O6" s="13">
        <f t="shared" si="1"/>
        <v>0</v>
      </c>
      <c r="P6" s="13">
        <f t="shared" si="1"/>
        <v>0</v>
      </c>
      <c r="Q6" s="13">
        <f t="shared" si="1"/>
        <v>1</v>
      </c>
      <c r="R6" s="13">
        <f t="shared" si="1"/>
        <v>0</v>
      </c>
      <c r="S6" s="13">
        <f t="shared" si="1"/>
        <v>0</v>
      </c>
      <c r="T6" s="13">
        <f t="shared" si="1"/>
        <v>0</v>
      </c>
      <c r="U6" s="13">
        <f t="shared" si="1"/>
        <v>0</v>
      </c>
      <c r="V6" s="13">
        <f t="shared" si="1"/>
        <v>1</v>
      </c>
      <c r="W6" s="13">
        <f t="shared" si="1"/>
        <v>0</v>
      </c>
      <c r="X6" s="13">
        <f t="shared" si="1"/>
        <v>0</v>
      </c>
      <c r="Y6" s="13">
        <f t="shared" si="1"/>
        <v>0</v>
      </c>
      <c r="Z6" s="13">
        <f t="shared" si="1"/>
        <v>0</v>
      </c>
      <c r="AA6" s="13">
        <f t="shared" si="1"/>
        <v>1</v>
      </c>
      <c r="AB6" s="13">
        <f t="shared" si="1"/>
        <v>0</v>
      </c>
      <c r="AC6" s="13">
        <f t="shared" si="1"/>
        <v>0</v>
      </c>
      <c r="AD6" s="13">
        <f t="shared" si="1"/>
        <v>0</v>
      </c>
      <c r="AE6" s="13">
        <f t="shared" si="1"/>
        <v>0</v>
      </c>
      <c r="AF6" s="13">
        <f t="shared" si="1"/>
        <v>1</v>
      </c>
      <c r="AG6" s="13">
        <f t="shared" si="1"/>
        <v>0</v>
      </c>
      <c r="AH6" s="13">
        <f t="shared" si="1"/>
        <v>0</v>
      </c>
      <c r="AI6" s="13">
        <f t="shared" si="1"/>
        <v>0</v>
      </c>
      <c r="AJ6" s="13">
        <f t="shared" si="1"/>
        <v>0</v>
      </c>
      <c r="AL6" s="1">
        <f>SUM(G28:AH28)</f>
        <v>2</v>
      </c>
      <c r="AN6">
        <v>0</v>
      </c>
      <c r="AO6" s="18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</row>
    <row r="7" spans="1:70" x14ac:dyDescent="0.2">
      <c r="E7" t="s">
        <v>15</v>
      </c>
      <c r="F7" s="3" t="s">
        <v>34</v>
      </c>
      <c r="G7" s="4">
        <v>3</v>
      </c>
      <c r="H7" s="4">
        <v>0</v>
      </c>
      <c r="I7" s="4">
        <v>0</v>
      </c>
      <c r="J7" s="4">
        <v>0</v>
      </c>
      <c r="K7" s="4">
        <v>0</v>
      </c>
      <c r="L7" s="4">
        <v>1</v>
      </c>
      <c r="M7" s="4">
        <v>0</v>
      </c>
      <c r="N7" s="4">
        <v>0</v>
      </c>
      <c r="O7" s="4">
        <v>0</v>
      </c>
      <c r="P7" s="4">
        <v>0</v>
      </c>
      <c r="Q7" s="4">
        <v>1</v>
      </c>
      <c r="R7" s="4">
        <v>0</v>
      </c>
      <c r="S7" s="4">
        <v>0</v>
      </c>
      <c r="T7" s="4">
        <v>0</v>
      </c>
      <c r="U7" s="4">
        <v>0</v>
      </c>
      <c r="V7" s="4">
        <v>3</v>
      </c>
      <c r="W7" s="4">
        <v>0</v>
      </c>
      <c r="X7" s="4">
        <v>0</v>
      </c>
      <c r="Y7" s="4">
        <v>0</v>
      </c>
      <c r="Z7" s="4">
        <v>0</v>
      </c>
      <c r="AA7" s="4">
        <v>1</v>
      </c>
      <c r="AB7" s="4">
        <v>0</v>
      </c>
      <c r="AC7" s="4">
        <v>0</v>
      </c>
      <c r="AD7" s="4">
        <v>0</v>
      </c>
      <c r="AE7" s="4">
        <v>0</v>
      </c>
      <c r="AF7" s="4">
        <v>1</v>
      </c>
      <c r="AG7" s="4">
        <v>0</v>
      </c>
      <c r="AH7" s="4">
        <v>0</v>
      </c>
      <c r="AI7" s="4">
        <v>2092</v>
      </c>
      <c r="AJ7" s="4">
        <v>0</v>
      </c>
      <c r="AK7">
        <f>SUMPRODUCT($G$6:$AJ$6,G7:AJ7)</f>
        <v>10</v>
      </c>
      <c r="AL7" s="6" t="s">
        <v>16</v>
      </c>
      <c r="AM7">
        <f>SUM(G3:AJ3)</f>
        <v>10</v>
      </c>
    </row>
    <row r="8" spans="1:70" x14ac:dyDescent="0.2">
      <c r="A8" s="11" t="s">
        <v>1</v>
      </c>
      <c r="B8" t="s">
        <v>4</v>
      </c>
      <c r="C8" t="s">
        <v>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</row>
    <row r="9" spans="1:70" x14ac:dyDescent="0.2">
      <c r="A9" s="16" t="s">
        <v>6</v>
      </c>
      <c r="B9" s="17">
        <v>1.25</v>
      </c>
      <c r="C9" s="18">
        <v>1</v>
      </c>
    </row>
    <row r="10" spans="1:70" x14ac:dyDescent="0.2">
      <c r="A10" s="16" t="s">
        <v>7</v>
      </c>
      <c r="B10" s="17">
        <v>5.99</v>
      </c>
      <c r="C10" s="18">
        <v>2</v>
      </c>
      <c r="F10" s="2" t="s">
        <v>20</v>
      </c>
      <c r="G10" s="2">
        <v>1</v>
      </c>
      <c r="H10" s="2">
        <v>2</v>
      </c>
      <c r="I10" s="2">
        <v>3</v>
      </c>
      <c r="J10" s="2">
        <v>4</v>
      </c>
      <c r="K10" s="2">
        <v>5</v>
      </c>
      <c r="L10" s="2">
        <v>6</v>
      </c>
      <c r="M10" s="2">
        <v>7</v>
      </c>
      <c r="N10" s="2">
        <v>8</v>
      </c>
      <c r="O10" s="2">
        <v>9</v>
      </c>
      <c r="P10" s="2">
        <v>10</v>
      </c>
      <c r="Q10" s="2">
        <v>11</v>
      </c>
      <c r="R10" s="2">
        <v>12</v>
      </c>
      <c r="S10" s="2">
        <v>13</v>
      </c>
      <c r="T10" s="2">
        <v>14</v>
      </c>
      <c r="U10" s="2">
        <v>15</v>
      </c>
      <c r="V10" s="2">
        <v>16</v>
      </c>
      <c r="W10" s="2">
        <v>17</v>
      </c>
      <c r="X10" s="2">
        <v>18</v>
      </c>
      <c r="Y10" s="2">
        <v>19</v>
      </c>
      <c r="Z10" s="2">
        <v>20</v>
      </c>
      <c r="AA10" s="2">
        <v>21</v>
      </c>
      <c r="AB10" s="2">
        <v>22</v>
      </c>
      <c r="AC10" s="2">
        <v>23</v>
      </c>
      <c r="AD10" s="2">
        <v>24</v>
      </c>
      <c r="AE10" s="2">
        <v>25</v>
      </c>
      <c r="AF10" s="2">
        <v>26</v>
      </c>
      <c r="AG10" s="2">
        <v>27</v>
      </c>
      <c r="AH10" s="2">
        <v>28</v>
      </c>
      <c r="AI10" s="2">
        <v>29</v>
      </c>
      <c r="AJ10" s="2">
        <v>30</v>
      </c>
    </row>
    <row r="11" spans="1:70" x14ac:dyDescent="0.2">
      <c r="A11" s="16" t="s">
        <v>8</v>
      </c>
      <c r="B11" s="17">
        <v>0.27</v>
      </c>
      <c r="C11" s="18">
        <v>1</v>
      </c>
      <c r="F11" s="3" t="s">
        <v>34</v>
      </c>
      <c r="G11">
        <v>0</v>
      </c>
      <c r="H11">
        <f t="shared" ref="H11:AJ11" si="2">IF(H15=0,0,IF(H19&gt;G19,G19-H3,IF(G11&gt;0,G11-1,0)))</f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0</v>
      </c>
      <c r="M11">
        <f t="shared" si="2"/>
        <v>0</v>
      </c>
      <c r="N11">
        <f t="shared" si="2"/>
        <v>0</v>
      </c>
      <c r="O11">
        <f t="shared" si="2"/>
        <v>0</v>
      </c>
      <c r="P11">
        <f t="shared" si="2"/>
        <v>0</v>
      </c>
      <c r="Q11">
        <f t="shared" si="2"/>
        <v>0</v>
      </c>
      <c r="R11">
        <f t="shared" si="2"/>
        <v>0</v>
      </c>
      <c r="S11">
        <f t="shared" si="2"/>
        <v>0</v>
      </c>
      <c r="T11">
        <f t="shared" si="2"/>
        <v>0</v>
      </c>
      <c r="U11">
        <f t="shared" si="2"/>
        <v>0</v>
      </c>
      <c r="V11">
        <f t="shared" si="2"/>
        <v>-1</v>
      </c>
      <c r="W11">
        <f t="shared" si="2"/>
        <v>0</v>
      </c>
      <c r="X11">
        <f t="shared" si="2"/>
        <v>0</v>
      </c>
      <c r="Y11">
        <f t="shared" si="2"/>
        <v>0</v>
      </c>
      <c r="Z11">
        <f t="shared" si="2"/>
        <v>0</v>
      </c>
      <c r="AA11">
        <f t="shared" si="2"/>
        <v>0</v>
      </c>
      <c r="AB11">
        <f t="shared" si="2"/>
        <v>0</v>
      </c>
      <c r="AC11">
        <f t="shared" si="2"/>
        <v>0</v>
      </c>
      <c r="AD11">
        <f t="shared" si="2"/>
        <v>0</v>
      </c>
      <c r="AE11">
        <f t="shared" si="2"/>
        <v>0</v>
      </c>
      <c r="AF11">
        <f t="shared" si="2"/>
        <v>0</v>
      </c>
      <c r="AG11">
        <f t="shared" si="2"/>
        <v>0</v>
      </c>
      <c r="AH11">
        <f t="shared" si="2"/>
        <v>0</v>
      </c>
      <c r="AI11">
        <f t="shared" si="2"/>
        <v>0</v>
      </c>
      <c r="AJ11">
        <f t="shared" si="2"/>
        <v>0</v>
      </c>
    </row>
    <row r="12" spans="1:70" x14ac:dyDescent="0.2">
      <c r="A12" s="16" t="s">
        <v>9</v>
      </c>
      <c r="B12" s="17">
        <v>3.49</v>
      </c>
      <c r="C12" s="18">
        <v>6</v>
      </c>
      <c r="G12" s="14">
        <v>1</v>
      </c>
      <c r="H12" s="14">
        <v>2</v>
      </c>
      <c r="I12" s="14">
        <v>3</v>
      </c>
      <c r="J12" s="14">
        <v>4</v>
      </c>
      <c r="K12" s="14">
        <v>5</v>
      </c>
      <c r="L12" s="14">
        <v>6</v>
      </c>
      <c r="M12" s="14">
        <v>7</v>
      </c>
      <c r="N12" s="14">
        <v>8</v>
      </c>
      <c r="O12" s="14">
        <v>9</v>
      </c>
      <c r="P12" s="14">
        <v>10</v>
      </c>
      <c r="Q12" s="14">
        <v>11</v>
      </c>
      <c r="R12" s="14">
        <v>12</v>
      </c>
      <c r="S12" s="14">
        <v>13</v>
      </c>
      <c r="T12" s="14">
        <v>14</v>
      </c>
      <c r="U12" s="14">
        <v>15</v>
      </c>
      <c r="V12" s="14">
        <v>16</v>
      </c>
      <c r="W12" s="14">
        <v>17</v>
      </c>
      <c r="X12" s="14">
        <v>18</v>
      </c>
      <c r="Y12" s="14">
        <v>19</v>
      </c>
      <c r="Z12" s="14">
        <v>20</v>
      </c>
      <c r="AA12" s="14">
        <v>21</v>
      </c>
      <c r="AB12" s="14">
        <v>22</v>
      </c>
      <c r="AC12" s="14">
        <v>23</v>
      </c>
      <c r="AD12" s="14">
        <v>24</v>
      </c>
      <c r="AE12" s="14">
        <v>25</v>
      </c>
      <c r="AF12" s="14">
        <v>26</v>
      </c>
      <c r="AG12" s="14">
        <v>27</v>
      </c>
      <c r="AH12" s="14">
        <v>28</v>
      </c>
      <c r="AI12" s="14">
        <v>29</v>
      </c>
      <c r="AJ12" s="14">
        <v>30</v>
      </c>
    </row>
    <row r="13" spans="1:70" x14ac:dyDescent="0.2">
      <c r="A13" s="16" t="s">
        <v>10</v>
      </c>
      <c r="B13" s="17">
        <v>4.99</v>
      </c>
      <c r="C13" s="18">
        <v>5</v>
      </c>
      <c r="H13">
        <f t="shared" ref="H13:AJ13" ca="1" si="3">IF(H6=1,SUM(OFFSET(H3,0,0,1,$AM$2)),0)</f>
        <v>0</v>
      </c>
      <c r="I13">
        <f t="shared" ca="1" si="3"/>
        <v>0</v>
      </c>
      <c r="J13">
        <f t="shared" ca="1" si="3"/>
        <v>0</v>
      </c>
      <c r="K13">
        <f t="shared" ca="1" si="3"/>
        <v>0</v>
      </c>
      <c r="L13">
        <f t="shared" ca="1" si="3"/>
        <v>1</v>
      </c>
      <c r="M13">
        <f t="shared" ca="1" si="3"/>
        <v>0</v>
      </c>
      <c r="N13">
        <f t="shared" ca="1" si="3"/>
        <v>0</v>
      </c>
      <c r="O13">
        <f t="shared" ca="1" si="3"/>
        <v>0</v>
      </c>
      <c r="P13">
        <f t="shared" ca="1" si="3"/>
        <v>0</v>
      </c>
      <c r="Q13">
        <f t="shared" ca="1" si="3"/>
        <v>1</v>
      </c>
      <c r="R13">
        <f t="shared" ca="1" si="3"/>
        <v>0</v>
      </c>
      <c r="S13">
        <f t="shared" ca="1" si="3"/>
        <v>0</v>
      </c>
      <c r="T13">
        <f t="shared" ca="1" si="3"/>
        <v>0</v>
      </c>
      <c r="U13">
        <f t="shared" ca="1" si="3"/>
        <v>0</v>
      </c>
      <c r="V13">
        <f t="shared" ca="1" si="3"/>
        <v>3</v>
      </c>
      <c r="W13">
        <f t="shared" ca="1" si="3"/>
        <v>0</v>
      </c>
      <c r="X13">
        <f t="shared" ca="1" si="3"/>
        <v>0</v>
      </c>
      <c r="Y13">
        <f t="shared" ca="1" si="3"/>
        <v>0</v>
      </c>
      <c r="Z13">
        <f t="shared" ca="1" si="3"/>
        <v>0</v>
      </c>
      <c r="AA13">
        <f t="shared" ca="1" si="3"/>
        <v>1</v>
      </c>
      <c r="AB13">
        <f t="shared" ca="1" si="3"/>
        <v>0</v>
      </c>
      <c r="AC13">
        <f t="shared" ca="1" si="3"/>
        <v>0</v>
      </c>
      <c r="AD13">
        <f t="shared" ca="1" si="3"/>
        <v>0</v>
      </c>
      <c r="AE13">
        <f t="shared" ca="1" si="3"/>
        <v>0</v>
      </c>
      <c r="AF13">
        <f t="shared" ca="1" si="3"/>
        <v>1</v>
      </c>
      <c r="AG13">
        <f t="shared" ca="1" si="3"/>
        <v>0</v>
      </c>
      <c r="AH13">
        <f t="shared" ca="1" si="3"/>
        <v>0</v>
      </c>
      <c r="AI13">
        <f t="shared" ca="1" si="3"/>
        <v>0</v>
      </c>
      <c r="AJ13">
        <f t="shared" ca="1" si="3"/>
        <v>0</v>
      </c>
    </row>
    <row r="14" spans="1:70" x14ac:dyDescent="0.2">
      <c r="A14" s="16" t="s">
        <v>11</v>
      </c>
      <c r="B14" s="17">
        <v>4.99</v>
      </c>
      <c r="C14" s="18">
        <v>6</v>
      </c>
      <c r="F14" s="19" t="s">
        <v>22</v>
      </c>
      <c r="G14" s="2">
        <v>1</v>
      </c>
      <c r="H14" s="2">
        <v>2</v>
      </c>
      <c r="I14" s="2">
        <v>3</v>
      </c>
      <c r="J14" s="2">
        <v>4</v>
      </c>
      <c r="K14" s="2">
        <v>5</v>
      </c>
      <c r="L14" s="2">
        <v>6</v>
      </c>
      <c r="M14" s="2">
        <v>7</v>
      </c>
      <c r="N14" s="2">
        <v>8</v>
      </c>
      <c r="O14" s="2">
        <v>9</v>
      </c>
      <c r="P14" s="2">
        <v>10</v>
      </c>
      <c r="Q14" s="2">
        <v>11</v>
      </c>
      <c r="R14" s="2">
        <v>12</v>
      </c>
      <c r="S14" s="2">
        <v>13</v>
      </c>
      <c r="T14" s="2">
        <v>14</v>
      </c>
      <c r="U14" s="2">
        <v>15</v>
      </c>
      <c r="V14" s="2">
        <v>16</v>
      </c>
      <c r="W14" s="2">
        <v>17</v>
      </c>
      <c r="X14" s="2">
        <v>18</v>
      </c>
      <c r="Y14" s="2">
        <v>19</v>
      </c>
      <c r="Z14" s="2">
        <v>20</v>
      </c>
      <c r="AA14" s="2">
        <v>21</v>
      </c>
      <c r="AB14" s="2">
        <v>22</v>
      </c>
      <c r="AC14" s="2">
        <v>23</v>
      </c>
      <c r="AD14" s="2">
        <v>24</v>
      </c>
      <c r="AE14" s="2">
        <v>25</v>
      </c>
      <c r="AF14" s="2">
        <v>26</v>
      </c>
      <c r="AG14" s="2">
        <v>27</v>
      </c>
      <c r="AH14" s="2">
        <v>28</v>
      </c>
      <c r="AI14" s="2">
        <v>29</v>
      </c>
      <c r="AJ14" s="2">
        <v>30</v>
      </c>
    </row>
    <row r="15" spans="1:70" x14ac:dyDescent="0.2">
      <c r="A15" s="16" t="s">
        <v>12</v>
      </c>
      <c r="B15" s="17">
        <v>0.9</v>
      </c>
      <c r="C15" s="18">
        <v>1</v>
      </c>
      <c r="F15" s="3" t="s">
        <v>34</v>
      </c>
      <c r="G15">
        <v>0</v>
      </c>
      <c r="H15">
        <f t="shared" ref="H15:AJ15" si="4">IF(AND(H7&gt;0,G19-H3&gt;0),G22-1,G15-1)</f>
        <v>-1</v>
      </c>
      <c r="I15">
        <f t="shared" si="4"/>
        <v>-2</v>
      </c>
      <c r="J15">
        <f t="shared" si="4"/>
        <v>-3</v>
      </c>
      <c r="K15">
        <f t="shared" si="4"/>
        <v>-4</v>
      </c>
      <c r="L15">
        <f t="shared" si="4"/>
        <v>-5</v>
      </c>
      <c r="M15">
        <f t="shared" si="4"/>
        <v>-6</v>
      </c>
      <c r="N15">
        <f t="shared" si="4"/>
        <v>-7</v>
      </c>
      <c r="O15">
        <f t="shared" si="4"/>
        <v>-8</v>
      </c>
      <c r="P15">
        <f t="shared" si="4"/>
        <v>-9</v>
      </c>
      <c r="Q15">
        <f t="shared" si="4"/>
        <v>-10</v>
      </c>
      <c r="R15">
        <f t="shared" si="4"/>
        <v>-11</v>
      </c>
      <c r="S15">
        <f t="shared" si="4"/>
        <v>-12</v>
      </c>
      <c r="T15">
        <f t="shared" si="4"/>
        <v>-13</v>
      </c>
      <c r="U15">
        <f t="shared" si="4"/>
        <v>-14</v>
      </c>
      <c r="V15">
        <f t="shared" si="4"/>
        <v>-15</v>
      </c>
      <c r="W15">
        <f t="shared" si="4"/>
        <v>-16</v>
      </c>
      <c r="X15">
        <f t="shared" si="4"/>
        <v>-17</v>
      </c>
      <c r="Y15">
        <f t="shared" si="4"/>
        <v>-18</v>
      </c>
      <c r="Z15">
        <f t="shared" si="4"/>
        <v>-19</v>
      </c>
      <c r="AA15">
        <f t="shared" si="4"/>
        <v>-20</v>
      </c>
      <c r="AB15">
        <f t="shared" si="4"/>
        <v>-21</v>
      </c>
      <c r="AC15">
        <f t="shared" si="4"/>
        <v>-22</v>
      </c>
      <c r="AD15">
        <f t="shared" si="4"/>
        <v>-23</v>
      </c>
      <c r="AE15">
        <f t="shared" si="4"/>
        <v>-24</v>
      </c>
      <c r="AF15">
        <f t="shared" si="4"/>
        <v>-25</v>
      </c>
      <c r="AG15">
        <f t="shared" si="4"/>
        <v>-26</v>
      </c>
      <c r="AH15">
        <f t="shared" si="4"/>
        <v>-27</v>
      </c>
      <c r="AI15">
        <f t="shared" si="4"/>
        <v>-28</v>
      </c>
      <c r="AJ15">
        <f t="shared" si="4"/>
        <v>-29</v>
      </c>
    </row>
    <row r="16" spans="1:70" x14ac:dyDescent="0.2">
      <c r="A16" s="16" t="s">
        <v>13</v>
      </c>
      <c r="B16" s="17">
        <v>2.4900000000000002</v>
      </c>
      <c r="C16" s="18">
        <v>5</v>
      </c>
      <c r="F16" s="3"/>
    </row>
    <row r="17" spans="5:70" x14ac:dyDescent="0.2">
      <c r="F17" s="15" t="s">
        <v>17</v>
      </c>
    </row>
    <row r="18" spans="5:70" x14ac:dyDescent="0.2">
      <c r="F18" s="10" t="s">
        <v>18</v>
      </c>
      <c r="G18" s="2">
        <v>1</v>
      </c>
      <c r="H18" s="2">
        <v>2</v>
      </c>
      <c r="I18" s="2">
        <v>3</v>
      </c>
      <c r="J18" s="2">
        <v>4</v>
      </c>
      <c r="K18" s="2">
        <v>5</v>
      </c>
      <c r="L18" s="2">
        <v>6</v>
      </c>
      <c r="M18" s="2">
        <v>7</v>
      </c>
      <c r="N18" s="2">
        <v>8</v>
      </c>
      <c r="O18" s="2">
        <v>9</v>
      </c>
      <c r="P18" s="2">
        <v>10</v>
      </c>
      <c r="Q18" s="2">
        <v>11</v>
      </c>
      <c r="R18" s="2">
        <v>12</v>
      </c>
      <c r="S18" s="2">
        <v>13</v>
      </c>
      <c r="T18" s="2">
        <v>14</v>
      </c>
      <c r="U18" s="2">
        <v>15</v>
      </c>
      <c r="V18" s="2">
        <v>16</v>
      </c>
      <c r="W18" s="2">
        <v>17</v>
      </c>
      <c r="X18" s="2">
        <v>18</v>
      </c>
      <c r="Y18" s="2">
        <v>19</v>
      </c>
      <c r="Z18" s="2">
        <v>20</v>
      </c>
      <c r="AA18" s="2">
        <v>21</v>
      </c>
      <c r="AB18" s="2">
        <v>22</v>
      </c>
      <c r="AC18" s="2">
        <v>23</v>
      </c>
      <c r="AD18" s="2">
        <v>24</v>
      </c>
      <c r="AE18" s="2">
        <v>25</v>
      </c>
      <c r="AF18" s="2">
        <v>26</v>
      </c>
      <c r="AG18" s="2">
        <v>27</v>
      </c>
      <c r="AH18" s="2">
        <v>28</v>
      </c>
      <c r="AI18" s="2">
        <v>29</v>
      </c>
      <c r="AJ18" s="2">
        <v>30</v>
      </c>
    </row>
    <row r="19" spans="5:70" x14ac:dyDescent="0.2">
      <c r="F19" s="3" t="s">
        <v>34</v>
      </c>
      <c r="G19">
        <f>G25</f>
        <v>3</v>
      </c>
      <c r="H19">
        <f t="shared" ref="H19:AJ19" si="5">IF(H22=0,0-H3,G19+H25-H3)</f>
        <v>3</v>
      </c>
      <c r="I19">
        <f t="shared" si="5"/>
        <v>2</v>
      </c>
      <c r="J19">
        <f t="shared" si="5"/>
        <v>0</v>
      </c>
      <c r="K19">
        <f t="shared" si="5"/>
        <v>0</v>
      </c>
      <c r="L19">
        <f t="shared" si="5"/>
        <v>1</v>
      </c>
      <c r="M19">
        <f t="shared" si="5"/>
        <v>0</v>
      </c>
      <c r="N19">
        <f t="shared" si="5"/>
        <v>0</v>
      </c>
      <c r="O19">
        <f t="shared" si="5"/>
        <v>0</v>
      </c>
      <c r="P19">
        <f t="shared" si="5"/>
        <v>0</v>
      </c>
      <c r="Q19">
        <f t="shared" si="5"/>
        <v>1</v>
      </c>
      <c r="R19">
        <f t="shared" si="5"/>
        <v>0</v>
      </c>
      <c r="S19">
        <f t="shared" si="5"/>
        <v>0</v>
      </c>
      <c r="T19">
        <f t="shared" si="5"/>
        <v>0</v>
      </c>
      <c r="U19">
        <f t="shared" si="5"/>
        <v>0</v>
      </c>
      <c r="V19">
        <f t="shared" si="5"/>
        <v>2</v>
      </c>
      <c r="W19">
        <f t="shared" si="5"/>
        <v>1</v>
      </c>
      <c r="X19">
        <f t="shared" si="5"/>
        <v>0</v>
      </c>
      <c r="Y19">
        <f t="shared" si="5"/>
        <v>0</v>
      </c>
      <c r="Z19">
        <f t="shared" si="5"/>
        <v>0</v>
      </c>
      <c r="AA19">
        <f t="shared" si="5"/>
        <v>1</v>
      </c>
      <c r="AB19">
        <f t="shared" si="5"/>
        <v>1</v>
      </c>
      <c r="AC19">
        <f t="shared" si="5"/>
        <v>0</v>
      </c>
      <c r="AD19">
        <f t="shared" si="5"/>
        <v>0</v>
      </c>
      <c r="AE19">
        <f t="shared" si="5"/>
        <v>0</v>
      </c>
      <c r="AF19">
        <f t="shared" si="5"/>
        <v>1</v>
      </c>
      <c r="AG19">
        <f t="shared" si="5"/>
        <v>1</v>
      </c>
      <c r="AH19">
        <f t="shared" si="5"/>
        <v>1</v>
      </c>
      <c r="AI19">
        <f t="shared" si="5"/>
        <v>2092</v>
      </c>
      <c r="AJ19">
        <f t="shared" si="5"/>
        <v>2092</v>
      </c>
      <c r="BR19" s="3"/>
    </row>
    <row r="21" spans="5:70" x14ac:dyDescent="0.2">
      <c r="F21" s="10" t="s">
        <v>23</v>
      </c>
      <c r="G21" s="2">
        <v>1</v>
      </c>
      <c r="H21" s="2">
        <v>2</v>
      </c>
      <c r="I21" s="2">
        <v>3</v>
      </c>
      <c r="J21" s="2">
        <v>4</v>
      </c>
      <c r="K21" s="2">
        <v>5</v>
      </c>
      <c r="L21" s="2">
        <v>6</v>
      </c>
      <c r="M21" s="2">
        <v>7</v>
      </c>
      <c r="N21" s="2">
        <v>8</v>
      </c>
      <c r="O21" s="2">
        <v>9</v>
      </c>
      <c r="P21" s="2">
        <v>10</v>
      </c>
      <c r="Q21" s="2">
        <v>11</v>
      </c>
      <c r="R21" s="2">
        <v>12</v>
      </c>
      <c r="S21" s="2">
        <v>13</v>
      </c>
      <c r="T21" s="2">
        <v>14</v>
      </c>
      <c r="U21" s="2">
        <v>15</v>
      </c>
      <c r="V21" s="2">
        <v>16</v>
      </c>
      <c r="W21" s="2">
        <v>17</v>
      </c>
      <c r="X21" s="2">
        <v>18</v>
      </c>
      <c r="Y21" s="2">
        <v>19</v>
      </c>
      <c r="Z21" s="2">
        <v>20</v>
      </c>
      <c r="AA21" s="2">
        <v>21</v>
      </c>
      <c r="AB21" s="2">
        <v>22</v>
      </c>
      <c r="AC21" s="2">
        <v>23</v>
      </c>
      <c r="AD21" s="2">
        <v>24</v>
      </c>
      <c r="AE21" s="2">
        <v>25</v>
      </c>
      <c r="AF21" s="2">
        <v>26</v>
      </c>
      <c r="AG21" s="2">
        <v>27</v>
      </c>
      <c r="AH21" s="2">
        <v>28</v>
      </c>
      <c r="AI21" s="2">
        <v>29</v>
      </c>
      <c r="AJ21" s="2">
        <v>30</v>
      </c>
    </row>
    <row r="22" spans="5:70" x14ac:dyDescent="0.2">
      <c r="F22" s="3" t="s">
        <v>34</v>
      </c>
      <c r="G22">
        <f>IF(G7&gt;0,E3,0)</f>
        <v>3</v>
      </c>
      <c r="H22">
        <f t="shared" ref="H22:AJ22" si="6">IF(H7=0,G22-1,$E3)</f>
        <v>2</v>
      </c>
      <c r="I22">
        <f t="shared" si="6"/>
        <v>1</v>
      </c>
      <c r="J22">
        <f t="shared" si="6"/>
        <v>0</v>
      </c>
      <c r="K22">
        <f t="shared" si="6"/>
        <v>-1</v>
      </c>
      <c r="L22">
        <f t="shared" si="6"/>
        <v>3</v>
      </c>
      <c r="M22">
        <f t="shared" si="6"/>
        <v>2</v>
      </c>
      <c r="N22">
        <f t="shared" si="6"/>
        <v>1</v>
      </c>
      <c r="O22">
        <f t="shared" si="6"/>
        <v>0</v>
      </c>
      <c r="P22">
        <f t="shared" si="6"/>
        <v>-1</v>
      </c>
      <c r="Q22">
        <f t="shared" si="6"/>
        <v>3</v>
      </c>
      <c r="R22">
        <f t="shared" si="6"/>
        <v>2</v>
      </c>
      <c r="S22">
        <f t="shared" si="6"/>
        <v>1</v>
      </c>
      <c r="T22">
        <f t="shared" si="6"/>
        <v>0</v>
      </c>
      <c r="U22">
        <f t="shared" si="6"/>
        <v>-1</v>
      </c>
      <c r="V22">
        <f t="shared" si="6"/>
        <v>3</v>
      </c>
      <c r="W22">
        <f t="shared" si="6"/>
        <v>2</v>
      </c>
      <c r="X22">
        <f t="shared" si="6"/>
        <v>1</v>
      </c>
      <c r="Y22">
        <f t="shared" si="6"/>
        <v>0</v>
      </c>
      <c r="Z22">
        <f t="shared" si="6"/>
        <v>-1</v>
      </c>
      <c r="AA22">
        <f t="shared" si="6"/>
        <v>3</v>
      </c>
      <c r="AB22">
        <f t="shared" si="6"/>
        <v>2</v>
      </c>
      <c r="AC22">
        <f t="shared" si="6"/>
        <v>1</v>
      </c>
      <c r="AD22">
        <f t="shared" si="6"/>
        <v>0</v>
      </c>
      <c r="AE22">
        <f t="shared" si="6"/>
        <v>-1</v>
      </c>
      <c r="AF22">
        <f t="shared" si="6"/>
        <v>3</v>
      </c>
      <c r="AG22">
        <f t="shared" si="6"/>
        <v>2</v>
      </c>
      <c r="AH22">
        <f t="shared" si="6"/>
        <v>1</v>
      </c>
      <c r="AI22">
        <f t="shared" si="6"/>
        <v>3</v>
      </c>
      <c r="AJ22">
        <f t="shared" si="6"/>
        <v>2</v>
      </c>
    </row>
    <row r="23" spans="5:70" x14ac:dyDescent="0.2">
      <c r="F23" s="3"/>
    </row>
    <row r="24" spans="5:70" x14ac:dyDescent="0.2">
      <c r="F24" s="10" t="s">
        <v>19</v>
      </c>
      <c r="G24" s="2">
        <v>1</v>
      </c>
      <c r="H24" s="2">
        <v>2</v>
      </c>
      <c r="I24" s="2">
        <v>3</v>
      </c>
      <c r="J24" s="2">
        <v>4</v>
      </c>
      <c r="K24" s="2">
        <v>5</v>
      </c>
      <c r="L24" s="2">
        <v>6</v>
      </c>
      <c r="M24" s="2">
        <v>7</v>
      </c>
      <c r="N24" s="2">
        <v>8</v>
      </c>
      <c r="O24" s="2">
        <v>9</v>
      </c>
      <c r="P24" s="2">
        <v>10</v>
      </c>
      <c r="Q24" s="2">
        <v>11</v>
      </c>
      <c r="R24" s="2">
        <v>12</v>
      </c>
      <c r="S24" s="2">
        <v>13</v>
      </c>
      <c r="T24" s="2">
        <v>14</v>
      </c>
      <c r="U24" s="2">
        <v>15</v>
      </c>
      <c r="V24" s="2">
        <v>16</v>
      </c>
      <c r="W24" s="2">
        <v>17</v>
      </c>
      <c r="X24" s="2">
        <v>18</v>
      </c>
      <c r="Y24" s="2">
        <v>19</v>
      </c>
      <c r="Z24" s="2">
        <v>20</v>
      </c>
      <c r="AA24" s="2">
        <v>21</v>
      </c>
      <c r="AB24" s="2">
        <v>22</v>
      </c>
      <c r="AC24" s="2">
        <v>23</v>
      </c>
      <c r="AD24" s="2">
        <v>24</v>
      </c>
      <c r="AE24" s="2">
        <v>25</v>
      </c>
      <c r="AF24" s="2">
        <v>26</v>
      </c>
      <c r="AG24" s="2">
        <v>27</v>
      </c>
      <c r="AH24" s="2">
        <v>28</v>
      </c>
      <c r="AI24" s="2">
        <v>29</v>
      </c>
      <c r="AJ24" s="2">
        <v>30</v>
      </c>
      <c r="BO24" s="14"/>
      <c r="BP24" s="14"/>
      <c r="BQ24" s="14"/>
      <c r="BR24" s="3"/>
    </row>
    <row r="25" spans="5:70" x14ac:dyDescent="0.2">
      <c r="F25" s="3" t="s">
        <v>34</v>
      </c>
      <c r="G25">
        <f t="shared" ref="G25:AJ25" si="7">G7*$C9</f>
        <v>3</v>
      </c>
      <c r="H25">
        <f t="shared" si="7"/>
        <v>0</v>
      </c>
      <c r="I25">
        <f t="shared" si="7"/>
        <v>0</v>
      </c>
      <c r="J25">
        <f t="shared" si="7"/>
        <v>0</v>
      </c>
      <c r="K25">
        <f t="shared" si="7"/>
        <v>0</v>
      </c>
      <c r="L25">
        <f t="shared" si="7"/>
        <v>1</v>
      </c>
      <c r="M25">
        <f t="shared" si="7"/>
        <v>0</v>
      </c>
      <c r="N25">
        <f t="shared" si="7"/>
        <v>0</v>
      </c>
      <c r="O25">
        <f t="shared" si="7"/>
        <v>0</v>
      </c>
      <c r="P25">
        <f t="shared" si="7"/>
        <v>0</v>
      </c>
      <c r="Q25">
        <f t="shared" si="7"/>
        <v>1</v>
      </c>
      <c r="R25">
        <f t="shared" si="7"/>
        <v>0</v>
      </c>
      <c r="S25">
        <f t="shared" si="7"/>
        <v>0</v>
      </c>
      <c r="T25">
        <f t="shared" si="7"/>
        <v>0</v>
      </c>
      <c r="U25">
        <f t="shared" si="7"/>
        <v>0</v>
      </c>
      <c r="V25">
        <f t="shared" si="7"/>
        <v>3</v>
      </c>
      <c r="W25">
        <f t="shared" si="7"/>
        <v>0</v>
      </c>
      <c r="X25">
        <f t="shared" si="7"/>
        <v>0</v>
      </c>
      <c r="Y25">
        <f t="shared" si="7"/>
        <v>0</v>
      </c>
      <c r="Z25">
        <f t="shared" si="7"/>
        <v>0</v>
      </c>
      <c r="AA25">
        <f t="shared" si="7"/>
        <v>1</v>
      </c>
      <c r="AB25">
        <f t="shared" si="7"/>
        <v>0</v>
      </c>
      <c r="AC25">
        <f t="shared" si="7"/>
        <v>0</v>
      </c>
      <c r="AD25">
        <f t="shared" si="7"/>
        <v>0</v>
      </c>
      <c r="AE25">
        <f t="shared" si="7"/>
        <v>0</v>
      </c>
      <c r="AF25">
        <f t="shared" si="7"/>
        <v>1</v>
      </c>
      <c r="AG25">
        <f t="shared" si="7"/>
        <v>0</v>
      </c>
      <c r="AH25">
        <f t="shared" si="7"/>
        <v>0</v>
      </c>
      <c r="AI25">
        <f t="shared" si="7"/>
        <v>2092</v>
      </c>
      <c r="AJ25">
        <f t="shared" si="7"/>
        <v>0</v>
      </c>
      <c r="BR25" s="3"/>
    </row>
    <row r="26" spans="5:70" x14ac:dyDescent="0.2">
      <c r="F26" s="3"/>
      <c r="BR26" s="3"/>
    </row>
    <row r="27" spans="5:70" x14ac:dyDescent="0.2">
      <c r="F27" s="10" t="s">
        <v>24</v>
      </c>
      <c r="G27" s="2">
        <v>1</v>
      </c>
      <c r="H27" s="2">
        <v>2</v>
      </c>
      <c r="I27" s="2">
        <v>3</v>
      </c>
      <c r="J27" s="2">
        <v>4</v>
      </c>
      <c r="K27" s="2">
        <v>5</v>
      </c>
      <c r="L27" s="2">
        <v>6</v>
      </c>
      <c r="M27" s="2">
        <v>7</v>
      </c>
      <c r="N27" s="2">
        <v>8</v>
      </c>
      <c r="O27" s="2">
        <v>9</v>
      </c>
      <c r="P27" s="2">
        <v>10</v>
      </c>
      <c r="Q27" s="2">
        <v>11</v>
      </c>
      <c r="R27" s="2">
        <v>12</v>
      </c>
      <c r="S27" s="2">
        <v>13</v>
      </c>
      <c r="T27" s="2">
        <v>14</v>
      </c>
      <c r="U27" s="2">
        <v>15</v>
      </c>
      <c r="V27" s="2">
        <v>16</v>
      </c>
      <c r="W27" s="2">
        <v>17</v>
      </c>
      <c r="X27" s="2">
        <v>18</v>
      </c>
      <c r="Y27" s="2">
        <v>19</v>
      </c>
      <c r="Z27" s="2">
        <v>20</v>
      </c>
      <c r="AA27" s="2">
        <v>21</v>
      </c>
      <c r="AB27" s="2">
        <v>22</v>
      </c>
      <c r="AC27" s="2">
        <v>23</v>
      </c>
      <c r="AD27" s="2">
        <v>24</v>
      </c>
      <c r="AE27" s="2">
        <v>25</v>
      </c>
      <c r="AF27" s="2">
        <v>26</v>
      </c>
      <c r="AG27" s="2">
        <v>27</v>
      </c>
      <c r="AH27" s="2">
        <v>28</v>
      </c>
      <c r="AI27" s="2">
        <v>29</v>
      </c>
      <c r="AJ27" s="2">
        <v>30</v>
      </c>
      <c r="BR27" s="3"/>
    </row>
    <row r="28" spans="5:70" x14ac:dyDescent="0.2">
      <c r="F28" s="3" t="s">
        <v>34</v>
      </c>
      <c r="G28">
        <v>0</v>
      </c>
      <c r="H28">
        <f t="shared" ref="H28:AJ28" si="8">IF(H15=0,IF(H22=0, H19, IF(G11-H3&lt;0,0,G11-H3)),IF(H22=0,IF(G19-H3&lt;0,0,G19-H3),0))</f>
        <v>0</v>
      </c>
      <c r="I28">
        <f t="shared" si="8"/>
        <v>0</v>
      </c>
      <c r="J28">
        <f t="shared" si="8"/>
        <v>2</v>
      </c>
      <c r="K28">
        <f t="shared" si="8"/>
        <v>0</v>
      </c>
      <c r="L28">
        <f t="shared" si="8"/>
        <v>0</v>
      </c>
      <c r="M28">
        <f t="shared" si="8"/>
        <v>0</v>
      </c>
      <c r="N28">
        <f t="shared" si="8"/>
        <v>0</v>
      </c>
      <c r="O28">
        <f t="shared" si="8"/>
        <v>0</v>
      </c>
      <c r="P28">
        <f t="shared" si="8"/>
        <v>0</v>
      </c>
      <c r="Q28">
        <f t="shared" si="8"/>
        <v>0</v>
      </c>
      <c r="R28">
        <f t="shared" si="8"/>
        <v>0</v>
      </c>
      <c r="S28">
        <f t="shared" si="8"/>
        <v>0</v>
      </c>
      <c r="T28">
        <f t="shared" si="8"/>
        <v>0</v>
      </c>
      <c r="U28">
        <f t="shared" si="8"/>
        <v>0</v>
      </c>
      <c r="V28">
        <f t="shared" si="8"/>
        <v>0</v>
      </c>
      <c r="W28">
        <f t="shared" si="8"/>
        <v>0</v>
      </c>
      <c r="X28">
        <f t="shared" si="8"/>
        <v>0</v>
      </c>
      <c r="Y28">
        <f t="shared" si="8"/>
        <v>0</v>
      </c>
      <c r="Z28">
        <f t="shared" si="8"/>
        <v>0</v>
      </c>
      <c r="AA28">
        <f t="shared" si="8"/>
        <v>0</v>
      </c>
      <c r="AB28">
        <f t="shared" si="8"/>
        <v>0</v>
      </c>
      <c r="AC28">
        <f t="shared" si="8"/>
        <v>0</v>
      </c>
      <c r="AD28">
        <f t="shared" si="8"/>
        <v>0</v>
      </c>
      <c r="AE28">
        <f t="shared" si="8"/>
        <v>0</v>
      </c>
      <c r="AF28">
        <f t="shared" si="8"/>
        <v>0</v>
      </c>
      <c r="AG28">
        <f t="shared" si="8"/>
        <v>0</v>
      </c>
      <c r="AH28">
        <f t="shared" si="8"/>
        <v>0</v>
      </c>
      <c r="AI28">
        <f t="shared" si="8"/>
        <v>0</v>
      </c>
      <c r="AJ28">
        <f t="shared" si="8"/>
        <v>0</v>
      </c>
      <c r="BR28" s="3"/>
    </row>
    <row r="29" spans="5:70" x14ac:dyDescent="0.2">
      <c r="E29" s="3" t="s">
        <v>34</v>
      </c>
      <c r="F29">
        <v>1</v>
      </c>
      <c r="G29">
        <f>G$6</f>
        <v>1</v>
      </c>
      <c r="AK29">
        <f t="shared" ref="AK29:AK58" si="9">SUMPRODUCT($G$7:$AJ$7,G29:AJ29)</f>
        <v>3</v>
      </c>
      <c r="AL29" t="s">
        <v>16</v>
      </c>
      <c r="AM29">
        <f ca="1">IF(G6=1,SUM(OFFSET(G3,0,0,1,$AM$2)),0)</f>
        <v>3</v>
      </c>
      <c r="BR29" s="3"/>
    </row>
    <row r="30" spans="5:70" x14ac:dyDescent="0.2">
      <c r="F30">
        <v>2</v>
      </c>
      <c r="H30">
        <v>1</v>
      </c>
      <c r="AK30">
        <f t="shared" si="9"/>
        <v>0</v>
      </c>
      <c r="AL30" t="s">
        <v>16</v>
      </c>
      <c r="AM30">
        <f ca="1">H13</f>
        <v>0</v>
      </c>
      <c r="BR30" s="3"/>
    </row>
    <row r="31" spans="5:70" x14ac:dyDescent="0.2">
      <c r="F31">
        <v>3</v>
      </c>
      <c r="I31">
        <v>1</v>
      </c>
      <c r="AK31">
        <f t="shared" si="9"/>
        <v>0</v>
      </c>
      <c r="AL31" t="s">
        <v>16</v>
      </c>
      <c r="AM31">
        <f ca="1">I13</f>
        <v>0</v>
      </c>
      <c r="BR31" s="3"/>
    </row>
    <row r="32" spans="5:70" x14ac:dyDescent="0.2">
      <c r="F32">
        <v>4</v>
      </c>
      <c r="J32">
        <v>1</v>
      </c>
      <c r="AK32">
        <f t="shared" si="9"/>
        <v>0</v>
      </c>
      <c r="AL32" t="s">
        <v>16</v>
      </c>
      <c r="AM32">
        <f ca="1">J13</f>
        <v>0</v>
      </c>
      <c r="BR32" s="3"/>
    </row>
    <row r="33" spans="6:70" ht="15.5" x14ac:dyDescent="0.2">
      <c r="F33">
        <v>5</v>
      </c>
      <c r="K33">
        <v>1</v>
      </c>
      <c r="AK33">
        <f t="shared" si="9"/>
        <v>0</v>
      </c>
      <c r="AL33" t="s">
        <v>16</v>
      </c>
      <c r="AM33">
        <f ca="1">K13</f>
        <v>0</v>
      </c>
    </row>
    <row r="34" spans="6:70" ht="15.5" x14ac:dyDescent="0.2">
      <c r="F34">
        <v>6</v>
      </c>
      <c r="L34">
        <v>1</v>
      </c>
      <c r="AK34">
        <f t="shared" si="9"/>
        <v>1</v>
      </c>
      <c r="AL34" t="s">
        <v>16</v>
      </c>
      <c r="AM34">
        <f ca="1">L13</f>
        <v>1</v>
      </c>
    </row>
    <row r="35" spans="6:70" x14ac:dyDescent="0.2">
      <c r="F35">
        <v>7</v>
      </c>
      <c r="M35">
        <v>1</v>
      </c>
      <c r="AK35">
        <f t="shared" si="9"/>
        <v>0</v>
      </c>
      <c r="AL35" t="s">
        <v>16</v>
      </c>
      <c r="AM35">
        <f ca="1">M13</f>
        <v>0</v>
      </c>
      <c r="BR35" s="3"/>
    </row>
    <row r="36" spans="6:70" x14ac:dyDescent="0.2">
      <c r="F36">
        <v>8</v>
      </c>
      <c r="N36">
        <f>N$6</f>
        <v>0</v>
      </c>
      <c r="AK36">
        <f t="shared" si="9"/>
        <v>0</v>
      </c>
      <c r="AL36" t="s">
        <v>16</v>
      </c>
      <c r="AM36">
        <f ca="1">N13</f>
        <v>0</v>
      </c>
      <c r="BR36" s="3"/>
    </row>
    <row r="37" spans="6:70" x14ac:dyDescent="0.2">
      <c r="F37">
        <v>9</v>
      </c>
      <c r="O37">
        <v>1</v>
      </c>
      <c r="AK37">
        <f t="shared" si="9"/>
        <v>0</v>
      </c>
      <c r="AL37" t="s">
        <v>16</v>
      </c>
      <c r="AM37">
        <f ca="1">O13</f>
        <v>0</v>
      </c>
      <c r="BR37" s="3"/>
    </row>
    <row r="38" spans="6:70" x14ac:dyDescent="0.2">
      <c r="F38">
        <v>10</v>
      </c>
      <c r="P38">
        <v>1</v>
      </c>
      <c r="AK38">
        <f t="shared" si="9"/>
        <v>0</v>
      </c>
      <c r="AL38" t="s">
        <v>16</v>
      </c>
      <c r="AM38">
        <f ca="1">P13</f>
        <v>0</v>
      </c>
      <c r="BR38" s="3"/>
    </row>
    <row r="39" spans="6:70" x14ac:dyDescent="0.2">
      <c r="F39">
        <v>11</v>
      </c>
      <c r="Q39">
        <v>1</v>
      </c>
      <c r="AK39">
        <f t="shared" si="9"/>
        <v>1</v>
      </c>
      <c r="AL39" t="s">
        <v>16</v>
      </c>
      <c r="AM39">
        <f ca="1">Q13</f>
        <v>1</v>
      </c>
      <c r="BR39" s="3"/>
    </row>
    <row r="40" spans="6:70" x14ac:dyDescent="0.2">
      <c r="F40">
        <v>12</v>
      </c>
      <c r="R40">
        <v>1</v>
      </c>
      <c r="AK40">
        <f t="shared" si="9"/>
        <v>0</v>
      </c>
      <c r="AL40" t="s">
        <v>16</v>
      </c>
      <c r="AM40">
        <f ca="1">R13</f>
        <v>0</v>
      </c>
      <c r="BR40" s="3"/>
    </row>
    <row r="41" spans="6:70" x14ac:dyDescent="0.2">
      <c r="F41">
        <v>13</v>
      </c>
      <c r="S41">
        <v>1</v>
      </c>
      <c r="AK41">
        <f t="shared" si="9"/>
        <v>0</v>
      </c>
      <c r="AL41" t="s">
        <v>16</v>
      </c>
      <c r="AM41">
        <f ca="1">S13</f>
        <v>0</v>
      </c>
      <c r="BR41" s="3"/>
    </row>
    <row r="42" spans="6:70" ht="15.5" x14ac:dyDescent="0.2">
      <c r="F42">
        <v>14</v>
      </c>
      <c r="T42">
        <v>1</v>
      </c>
      <c r="AK42">
        <f t="shared" si="9"/>
        <v>0</v>
      </c>
      <c r="AL42" t="s">
        <v>16</v>
      </c>
      <c r="AM42">
        <f ca="1">T13</f>
        <v>0</v>
      </c>
    </row>
    <row r="43" spans="6:70" ht="15.5" x14ac:dyDescent="0.2">
      <c r="F43">
        <v>15</v>
      </c>
      <c r="U43">
        <f>U$6</f>
        <v>0</v>
      </c>
      <c r="AK43">
        <f t="shared" si="9"/>
        <v>0</v>
      </c>
      <c r="AL43" t="s">
        <v>16</v>
      </c>
      <c r="AM43">
        <f ca="1">U13</f>
        <v>0</v>
      </c>
    </row>
    <row r="44" spans="6:70" ht="15.5" x14ac:dyDescent="0.2">
      <c r="F44">
        <v>16</v>
      </c>
      <c r="V44">
        <v>1</v>
      </c>
      <c r="AK44">
        <f t="shared" si="9"/>
        <v>3</v>
      </c>
      <c r="AL44" t="s">
        <v>16</v>
      </c>
      <c r="AM44">
        <f ca="1">V13</f>
        <v>3</v>
      </c>
    </row>
    <row r="45" spans="6:70" x14ac:dyDescent="0.2">
      <c r="F45">
        <v>17</v>
      </c>
      <c r="W45">
        <v>1</v>
      </c>
      <c r="AK45">
        <f t="shared" si="9"/>
        <v>0</v>
      </c>
      <c r="AL45" t="s">
        <v>16</v>
      </c>
      <c r="AM45">
        <f ca="1">W13</f>
        <v>0</v>
      </c>
      <c r="BR45" s="3"/>
    </row>
    <row r="46" spans="6:70" x14ac:dyDescent="0.2">
      <c r="F46">
        <v>18</v>
      </c>
      <c r="X46">
        <v>1</v>
      </c>
      <c r="AK46">
        <f t="shared" si="9"/>
        <v>0</v>
      </c>
      <c r="AL46" t="s">
        <v>16</v>
      </c>
      <c r="AM46">
        <f ca="1">X13</f>
        <v>0</v>
      </c>
      <c r="BR46" s="3"/>
    </row>
    <row r="47" spans="6:70" x14ac:dyDescent="0.2">
      <c r="F47">
        <v>19</v>
      </c>
      <c r="Y47">
        <v>1</v>
      </c>
      <c r="AK47">
        <f t="shared" si="9"/>
        <v>0</v>
      </c>
      <c r="AL47" t="s">
        <v>16</v>
      </c>
      <c r="AM47">
        <f ca="1">Y13</f>
        <v>0</v>
      </c>
      <c r="BR47" s="3"/>
    </row>
    <row r="48" spans="6:70" x14ac:dyDescent="0.2">
      <c r="F48">
        <v>20</v>
      </c>
      <c r="Z48">
        <v>1</v>
      </c>
      <c r="AK48">
        <f t="shared" si="9"/>
        <v>0</v>
      </c>
      <c r="AL48" t="s">
        <v>16</v>
      </c>
      <c r="AM48">
        <f ca="1">Z13</f>
        <v>0</v>
      </c>
      <c r="BR48" s="3"/>
    </row>
    <row r="49" spans="6:70" x14ac:dyDescent="0.2">
      <c r="F49">
        <v>21</v>
      </c>
      <c r="AA49">
        <v>1</v>
      </c>
      <c r="AK49">
        <f t="shared" si="9"/>
        <v>1</v>
      </c>
      <c r="AL49" t="s">
        <v>16</v>
      </c>
      <c r="AM49">
        <f ca="1">AA13</f>
        <v>1</v>
      </c>
      <c r="BR49" s="3"/>
    </row>
    <row r="50" spans="6:70" x14ac:dyDescent="0.2">
      <c r="F50">
        <v>22</v>
      </c>
      <c r="AB50">
        <f>AB$6</f>
        <v>0</v>
      </c>
      <c r="AK50">
        <f t="shared" si="9"/>
        <v>0</v>
      </c>
      <c r="AL50" t="s">
        <v>16</v>
      </c>
      <c r="AM50">
        <f ca="1">AB13</f>
        <v>0</v>
      </c>
      <c r="BR50" s="3"/>
    </row>
    <row r="51" spans="6:70" x14ac:dyDescent="0.2">
      <c r="F51">
        <v>23</v>
      </c>
      <c r="AC51">
        <v>1</v>
      </c>
      <c r="AK51">
        <f t="shared" si="9"/>
        <v>0</v>
      </c>
      <c r="AL51" t="s">
        <v>16</v>
      </c>
      <c r="AM51">
        <f ca="1">AC13</f>
        <v>0</v>
      </c>
      <c r="BR51" s="3"/>
    </row>
    <row r="52" spans="6:70" ht="15.5" x14ac:dyDescent="0.2">
      <c r="F52">
        <v>24</v>
      </c>
      <c r="AD52">
        <v>1</v>
      </c>
      <c r="AK52">
        <f t="shared" si="9"/>
        <v>0</v>
      </c>
      <c r="AL52" t="s">
        <v>16</v>
      </c>
      <c r="AM52">
        <f ca="1">AD13</f>
        <v>0</v>
      </c>
    </row>
    <row r="53" spans="6:70" x14ac:dyDescent="0.2">
      <c r="F53">
        <v>25</v>
      </c>
      <c r="AE53">
        <v>1</v>
      </c>
      <c r="AK53">
        <f t="shared" si="9"/>
        <v>0</v>
      </c>
      <c r="AL53" t="s">
        <v>16</v>
      </c>
      <c r="AM53">
        <f ca="1">AE13</f>
        <v>0</v>
      </c>
    </row>
    <row r="54" spans="6:70" x14ac:dyDescent="0.2">
      <c r="F54">
        <v>26</v>
      </c>
      <c r="AF54">
        <v>1</v>
      </c>
      <c r="AK54">
        <f t="shared" si="9"/>
        <v>1</v>
      </c>
      <c r="AL54" t="s">
        <v>16</v>
      </c>
      <c r="AM54">
        <f ca="1">AF13</f>
        <v>1</v>
      </c>
    </row>
    <row r="55" spans="6:70" x14ac:dyDescent="0.2">
      <c r="F55">
        <v>27</v>
      </c>
      <c r="AG55">
        <v>1</v>
      </c>
      <c r="AK55">
        <f t="shared" si="9"/>
        <v>0</v>
      </c>
      <c r="AL55" t="s">
        <v>16</v>
      </c>
      <c r="AM55">
        <f ca="1">AG13</f>
        <v>0</v>
      </c>
      <c r="BR55" s="3"/>
    </row>
    <row r="56" spans="6:70" x14ac:dyDescent="0.2">
      <c r="F56">
        <v>28</v>
      </c>
      <c r="AH56">
        <v>1</v>
      </c>
      <c r="AK56">
        <f t="shared" si="9"/>
        <v>0</v>
      </c>
      <c r="AL56" t="s">
        <v>16</v>
      </c>
      <c r="AM56">
        <f ca="1">AH13</f>
        <v>0</v>
      </c>
      <c r="BR56" s="3"/>
    </row>
    <row r="57" spans="6:70" x14ac:dyDescent="0.2">
      <c r="F57">
        <v>29</v>
      </c>
      <c r="AI57">
        <f>AI6</f>
        <v>0</v>
      </c>
      <c r="AK57">
        <f t="shared" si="9"/>
        <v>0</v>
      </c>
      <c r="AL57" t="s">
        <v>16</v>
      </c>
      <c r="AM57">
        <f ca="1">AI13</f>
        <v>0</v>
      </c>
      <c r="BR57" s="3"/>
    </row>
    <row r="58" spans="6:70" x14ac:dyDescent="0.2">
      <c r="F58">
        <v>30</v>
      </c>
      <c r="AJ58">
        <v>1</v>
      </c>
      <c r="AK58">
        <f t="shared" si="9"/>
        <v>0</v>
      </c>
      <c r="AL58" t="s">
        <v>16</v>
      </c>
      <c r="AM58">
        <f ca="1">AJ13</f>
        <v>0</v>
      </c>
      <c r="BR58" s="3"/>
    </row>
    <row r="59" spans="6:70" x14ac:dyDescent="0.2">
      <c r="BR59" s="3"/>
    </row>
    <row r="60" spans="6:70" x14ac:dyDescent="0.2">
      <c r="BR60" s="3"/>
    </row>
    <row r="61" spans="6:70" x14ac:dyDescent="0.2">
      <c r="BR61" s="3"/>
    </row>
    <row r="80" spans="2:66" x14ac:dyDescent="0.2"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</row>
    <row r="136" spans="2:66" x14ac:dyDescent="0.2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</row>
    <row r="164" spans="2:66" x14ac:dyDescent="0.2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</row>
    <row r="192" spans="2:66" x14ac:dyDescent="0.2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</row>
    <row r="220" spans="2:66" x14ac:dyDescent="0.2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</row>
  </sheetData>
  <conditionalFormatting sqref="BZ7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24:CT30 BS55:CT61 G19:AJ19 G28:AJ28">
    <cfRule type="cellIs" dxfId="4" priority="1" operator="lessThan">
      <formula>0</formula>
    </cfRule>
  </conditionalFormatting>
  <conditionalFormatting sqref="G6:AJ6">
    <cfRule type="colorScale" priority="3">
      <colorScale>
        <cfvo type="min"/>
        <cfvo type="max"/>
        <color theme="0"/>
        <color theme="7"/>
      </colorScale>
    </cfRule>
    <cfRule type="colorScale" priority="4">
      <colorScale>
        <cfvo type="min"/>
        <cfvo type="max"/>
        <color rgb="FF63BE7B"/>
        <color rgb="FFFFEF9C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1E4D1-C0E3-433F-A0AA-3DB80CEBD31D}">
  <sheetPr codeName="Sheet6"/>
  <dimension ref="A1:BR220"/>
  <sheetViews>
    <sheetView zoomScale="80" zoomScaleNormal="80" workbookViewId="0">
      <selection activeCell="G7" sqref="G7:AJ7"/>
    </sheetView>
  </sheetViews>
  <sheetFormatPr baseColWidth="10" defaultColWidth="11" defaultRowHeight="16" x14ac:dyDescent="0.2"/>
  <cols>
    <col min="1" max="1" width="12" customWidth="1"/>
    <col min="3" max="3" width="12.6640625" customWidth="1"/>
    <col min="4" max="4" width="4.6640625" customWidth="1"/>
    <col min="5" max="5" width="8.6640625" bestFit="1" customWidth="1"/>
    <col min="6" max="6" width="9.6640625" bestFit="1" customWidth="1"/>
    <col min="7" max="36" width="4.6640625" customWidth="1"/>
    <col min="37" max="37" width="13.33203125" customWidth="1"/>
    <col min="39" max="39" width="9.6640625" customWidth="1"/>
    <col min="40" max="40" width="5.1640625" customWidth="1"/>
    <col min="41" max="41" width="4" customWidth="1"/>
    <col min="42" max="42" width="3.1640625" customWidth="1"/>
    <col min="43" max="47" width="2.6640625" customWidth="1"/>
    <col min="48" max="69" width="3.1640625" customWidth="1"/>
    <col min="70" max="70" width="15.5" customWidth="1"/>
    <col min="71" max="71" width="3.1640625" customWidth="1"/>
    <col min="72" max="72" width="3.6640625" customWidth="1"/>
    <col min="73" max="73" width="3.1640625" customWidth="1"/>
    <col min="74" max="98" width="3.6640625" customWidth="1"/>
    <col min="99" max="100" width="2.83203125" bestFit="1" customWidth="1"/>
    <col min="102" max="102" width="10.6640625" customWidth="1"/>
    <col min="103" max="103" width="14.6640625" customWidth="1"/>
  </cols>
  <sheetData>
    <row r="1" spans="1:70" x14ac:dyDescent="0.2">
      <c r="G1" s="5">
        <f t="shared" ref="G1:AJ1" si="0">G2/$AM$2</f>
        <v>0.2</v>
      </c>
      <c r="H1" s="5">
        <f t="shared" si="0"/>
        <v>0.4</v>
      </c>
      <c r="I1" s="5">
        <f t="shared" si="0"/>
        <v>0.6</v>
      </c>
      <c r="J1" s="5">
        <f t="shared" si="0"/>
        <v>0.8</v>
      </c>
      <c r="K1" s="5">
        <f t="shared" si="0"/>
        <v>1</v>
      </c>
      <c r="L1" s="5">
        <f t="shared" si="0"/>
        <v>1.2</v>
      </c>
      <c r="M1" s="5">
        <f t="shared" si="0"/>
        <v>1.4</v>
      </c>
      <c r="N1" s="5">
        <f t="shared" si="0"/>
        <v>1.6</v>
      </c>
      <c r="O1" s="5">
        <f t="shared" si="0"/>
        <v>1.8</v>
      </c>
      <c r="P1" s="5">
        <f t="shared" si="0"/>
        <v>2</v>
      </c>
      <c r="Q1" s="5">
        <f t="shared" si="0"/>
        <v>2.2000000000000002</v>
      </c>
      <c r="R1" s="5">
        <f t="shared" si="0"/>
        <v>2.4</v>
      </c>
      <c r="S1" s="5">
        <f t="shared" si="0"/>
        <v>2.6</v>
      </c>
      <c r="T1" s="5">
        <f t="shared" si="0"/>
        <v>2.8</v>
      </c>
      <c r="U1" s="5">
        <f t="shared" si="0"/>
        <v>3</v>
      </c>
      <c r="V1" s="5">
        <f t="shared" si="0"/>
        <v>3.2</v>
      </c>
      <c r="W1" s="5">
        <f t="shared" si="0"/>
        <v>3.4</v>
      </c>
      <c r="X1" s="5">
        <f t="shared" si="0"/>
        <v>3.6</v>
      </c>
      <c r="Y1" s="5">
        <f t="shared" si="0"/>
        <v>3.8</v>
      </c>
      <c r="Z1" s="5">
        <f t="shared" si="0"/>
        <v>4</v>
      </c>
      <c r="AA1" s="5">
        <f t="shared" si="0"/>
        <v>4.2</v>
      </c>
      <c r="AB1" s="5">
        <f t="shared" si="0"/>
        <v>4.4000000000000004</v>
      </c>
      <c r="AC1" s="5">
        <f t="shared" si="0"/>
        <v>4.5999999999999996</v>
      </c>
      <c r="AD1" s="5">
        <f t="shared" si="0"/>
        <v>4.8</v>
      </c>
      <c r="AE1" s="5">
        <f t="shared" si="0"/>
        <v>5</v>
      </c>
      <c r="AF1" s="5">
        <f t="shared" si="0"/>
        <v>5.2</v>
      </c>
      <c r="AG1" s="5">
        <f t="shared" si="0"/>
        <v>5.4</v>
      </c>
      <c r="AH1" s="5">
        <f t="shared" si="0"/>
        <v>5.6</v>
      </c>
      <c r="AI1" s="5">
        <f t="shared" si="0"/>
        <v>5.8</v>
      </c>
      <c r="AJ1" s="5">
        <f t="shared" si="0"/>
        <v>6</v>
      </c>
    </row>
    <row r="2" spans="1:70" ht="17" thickBot="1" x14ac:dyDescent="0.25">
      <c r="A2" s="20" t="s">
        <v>27</v>
      </c>
      <c r="E2" s="11" t="s">
        <v>0</v>
      </c>
      <c r="F2" s="11" t="s">
        <v>1</v>
      </c>
      <c r="G2" s="10">
        <v>1</v>
      </c>
      <c r="H2" s="10">
        <v>2</v>
      </c>
      <c r="I2" s="10">
        <v>3</v>
      </c>
      <c r="J2" s="10">
        <v>4</v>
      </c>
      <c r="K2" s="10">
        <v>5</v>
      </c>
      <c r="L2" s="10">
        <v>6</v>
      </c>
      <c r="M2" s="10">
        <v>7</v>
      </c>
      <c r="N2" s="10">
        <v>8</v>
      </c>
      <c r="O2" s="10">
        <v>9</v>
      </c>
      <c r="P2" s="10">
        <v>10</v>
      </c>
      <c r="Q2" s="10">
        <v>11</v>
      </c>
      <c r="R2" s="10">
        <v>12</v>
      </c>
      <c r="S2" s="10">
        <v>13</v>
      </c>
      <c r="T2" s="10">
        <v>14</v>
      </c>
      <c r="U2" s="10">
        <v>15</v>
      </c>
      <c r="V2" s="10">
        <v>16</v>
      </c>
      <c r="W2" s="10">
        <v>17</v>
      </c>
      <c r="X2" s="10">
        <v>18</v>
      </c>
      <c r="Y2" s="10">
        <v>19</v>
      </c>
      <c r="Z2" s="10">
        <v>20</v>
      </c>
      <c r="AA2" s="10">
        <v>21</v>
      </c>
      <c r="AB2" s="10">
        <v>22</v>
      </c>
      <c r="AC2" s="10">
        <v>23</v>
      </c>
      <c r="AD2" s="10">
        <v>24</v>
      </c>
      <c r="AE2" s="10">
        <v>25</v>
      </c>
      <c r="AF2" s="10">
        <v>26</v>
      </c>
      <c r="AG2" s="10">
        <v>27</v>
      </c>
      <c r="AH2" s="10">
        <v>28</v>
      </c>
      <c r="AI2" s="10">
        <v>29</v>
      </c>
      <c r="AJ2" s="10">
        <v>30</v>
      </c>
      <c r="AL2" t="s">
        <v>2</v>
      </c>
      <c r="AM2" s="7">
        <f>'Inputs and Outputs'!B2</f>
        <v>5</v>
      </c>
      <c r="AP2" s="2"/>
    </row>
    <row r="3" spans="1:70" x14ac:dyDescent="0.2">
      <c r="A3" t="s">
        <v>28</v>
      </c>
      <c r="B3" s="22"/>
      <c r="E3" s="21">
        <v>3</v>
      </c>
      <c r="F3" s="3" t="s">
        <v>10</v>
      </c>
      <c r="G3" s="9">
        <f>'Inputs and Outputs'!E8</f>
        <v>1</v>
      </c>
      <c r="H3" s="9">
        <f>'Inputs and Outputs'!F8</f>
        <v>0</v>
      </c>
      <c r="I3" s="9">
        <f>'Inputs and Outputs'!G8</f>
        <v>1</v>
      </c>
      <c r="J3" s="9">
        <f>'Inputs and Outputs'!H8</f>
        <v>1</v>
      </c>
      <c r="K3" s="9">
        <f>'Inputs and Outputs'!I8</f>
        <v>0</v>
      </c>
      <c r="L3" s="9">
        <f>'Inputs and Outputs'!J8</f>
        <v>0</v>
      </c>
      <c r="M3" s="9">
        <f>'Inputs and Outputs'!K8</f>
        <v>1</v>
      </c>
      <c r="N3" s="9">
        <f>'Inputs and Outputs'!L8</f>
        <v>0</v>
      </c>
      <c r="O3" s="9">
        <f>'Inputs and Outputs'!M8</f>
        <v>0</v>
      </c>
      <c r="P3" s="9">
        <f>'Inputs and Outputs'!N8</f>
        <v>0</v>
      </c>
      <c r="Q3" s="9">
        <f>'Inputs and Outputs'!O8</f>
        <v>0</v>
      </c>
      <c r="R3" s="9">
        <f>'Inputs and Outputs'!P8</f>
        <v>1</v>
      </c>
      <c r="S3" s="9">
        <f>'Inputs and Outputs'!Q8</f>
        <v>0</v>
      </c>
      <c r="T3" s="9">
        <f>'Inputs and Outputs'!R8</f>
        <v>0</v>
      </c>
      <c r="U3" s="9">
        <f>'Inputs and Outputs'!S8</f>
        <v>0</v>
      </c>
      <c r="V3" s="9">
        <f>'Inputs and Outputs'!T8</f>
        <v>0</v>
      </c>
      <c r="W3" s="9">
        <f>'Inputs and Outputs'!U8</f>
        <v>1</v>
      </c>
      <c r="X3" s="9">
        <f>'Inputs and Outputs'!V8</f>
        <v>0</v>
      </c>
      <c r="Y3" s="9">
        <f>'Inputs and Outputs'!W8</f>
        <v>0</v>
      </c>
      <c r="Z3" s="9">
        <f>'Inputs and Outputs'!X8</f>
        <v>0</v>
      </c>
      <c r="AA3" s="9">
        <f>'Inputs and Outputs'!Y8</f>
        <v>0</v>
      </c>
      <c r="AB3" s="9">
        <f>'Inputs and Outputs'!Z8</f>
        <v>0</v>
      </c>
      <c r="AC3" s="9">
        <f>'Inputs and Outputs'!AA8</f>
        <v>0</v>
      </c>
      <c r="AD3" s="9">
        <f>'Inputs and Outputs'!AB8</f>
        <v>0</v>
      </c>
      <c r="AE3" s="9">
        <f>'Inputs and Outputs'!AC8</f>
        <v>0</v>
      </c>
      <c r="AF3" s="9">
        <f>'Inputs and Outputs'!AD8</f>
        <v>0</v>
      </c>
      <c r="AG3" s="9">
        <f>'Inputs and Outputs'!AE8</f>
        <v>0</v>
      </c>
      <c r="AH3" s="9">
        <f>'Inputs and Outputs'!AF8</f>
        <v>0</v>
      </c>
      <c r="AI3" s="9">
        <f>'Inputs and Outputs'!AG8</f>
        <v>0</v>
      </c>
      <c r="AJ3" s="9">
        <f>'Inputs and Outputs'!AH8</f>
        <v>0</v>
      </c>
      <c r="BR3" s="3"/>
    </row>
    <row r="4" spans="1:70" x14ac:dyDescent="0.2">
      <c r="A4" t="s">
        <v>29</v>
      </c>
      <c r="B4" s="4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</row>
    <row r="5" spans="1:70" x14ac:dyDescent="0.2">
      <c r="A5" t="s">
        <v>30</v>
      </c>
      <c r="B5" s="23"/>
      <c r="G5" s="10">
        <v>1</v>
      </c>
      <c r="H5" s="10">
        <v>2</v>
      </c>
      <c r="I5" s="10">
        <v>3</v>
      </c>
      <c r="J5" s="10">
        <v>4</v>
      </c>
      <c r="K5" s="10">
        <v>5</v>
      </c>
      <c r="L5" s="10">
        <v>6</v>
      </c>
      <c r="M5" s="10">
        <v>7</v>
      </c>
      <c r="N5" s="10">
        <v>8</v>
      </c>
      <c r="O5" s="10">
        <v>9</v>
      </c>
      <c r="P5" s="10">
        <v>10</v>
      </c>
      <c r="Q5" s="10">
        <v>11</v>
      </c>
      <c r="R5" s="10">
        <v>12</v>
      </c>
      <c r="S5" s="10">
        <v>13</v>
      </c>
      <c r="T5" s="10">
        <v>14</v>
      </c>
      <c r="U5" s="10">
        <v>15</v>
      </c>
      <c r="V5" s="10">
        <v>16</v>
      </c>
      <c r="W5" s="10">
        <v>17</v>
      </c>
      <c r="X5" s="10">
        <v>18</v>
      </c>
      <c r="Y5" s="10">
        <v>19</v>
      </c>
      <c r="Z5" s="10">
        <v>20</v>
      </c>
      <c r="AA5" s="10">
        <v>21</v>
      </c>
      <c r="AB5" s="10">
        <v>22</v>
      </c>
      <c r="AC5" s="10">
        <v>23</v>
      </c>
      <c r="AD5" s="10">
        <v>24</v>
      </c>
      <c r="AE5" s="10">
        <v>25</v>
      </c>
      <c r="AF5" s="10">
        <v>26</v>
      </c>
      <c r="AG5" s="10">
        <v>27</v>
      </c>
      <c r="AH5" s="10">
        <v>28</v>
      </c>
      <c r="AI5" s="10">
        <v>29</v>
      </c>
      <c r="AJ5" s="10">
        <v>30</v>
      </c>
      <c r="AK5" t="s">
        <v>21</v>
      </c>
    </row>
    <row r="6" spans="1:70" x14ac:dyDescent="0.2">
      <c r="F6" s="12" t="s">
        <v>14</v>
      </c>
      <c r="G6" s="13">
        <f>IF(AM2&gt;=1,1,0)</f>
        <v>1</v>
      </c>
      <c r="H6" s="13">
        <f t="shared" ref="H6:AJ6" si="1">IF(OR(G1=1,G1=2,G1=3,G1=4,G1=5,G1=6,G1=7,G1=8,G1=9,G1=10,G1=11,G1=12,G1=13,G1=14),1,0)</f>
        <v>0</v>
      </c>
      <c r="I6" s="13">
        <f t="shared" si="1"/>
        <v>0</v>
      </c>
      <c r="J6" s="13">
        <f t="shared" si="1"/>
        <v>0</v>
      </c>
      <c r="K6" s="13">
        <f t="shared" si="1"/>
        <v>0</v>
      </c>
      <c r="L6" s="13">
        <f t="shared" si="1"/>
        <v>1</v>
      </c>
      <c r="M6" s="13">
        <f t="shared" si="1"/>
        <v>0</v>
      </c>
      <c r="N6" s="13">
        <f t="shared" si="1"/>
        <v>0</v>
      </c>
      <c r="O6" s="13">
        <f t="shared" si="1"/>
        <v>0</v>
      </c>
      <c r="P6" s="13">
        <f t="shared" si="1"/>
        <v>0</v>
      </c>
      <c r="Q6" s="13">
        <f t="shared" si="1"/>
        <v>1</v>
      </c>
      <c r="R6" s="13">
        <f t="shared" si="1"/>
        <v>0</v>
      </c>
      <c r="S6" s="13">
        <f t="shared" si="1"/>
        <v>0</v>
      </c>
      <c r="T6" s="13">
        <f t="shared" si="1"/>
        <v>0</v>
      </c>
      <c r="U6" s="13">
        <f t="shared" si="1"/>
        <v>0</v>
      </c>
      <c r="V6" s="13">
        <f t="shared" si="1"/>
        <v>1</v>
      </c>
      <c r="W6" s="13">
        <f t="shared" si="1"/>
        <v>0</v>
      </c>
      <c r="X6" s="13">
        <f t="shared" si="1"/>
        <v>0</v>
      </c>
      <c r="Y6" s="13">
        <f t="shared" si="1"/>
        <v>0</v>
      </c>
      <c r="Z6" s="13">
        <f t="shared" si="1"/>
        <v>0</v>
      </c>
      <c r="AA6" s="13">
        <f t="shared" si="1"/>
        <v>1</v>
      </c>
      <c r="AB6" s="13">
        <f t="shared" si="1"/>
        <v>0</v>
      </c>
      <c r="AC6" s="13">
        <f t="shared" si="1"/>
        <v>0</v>
      </c>
      <c r="AD6" s="13">
        <f t="shared" si="1"/>
        <v>0</v>
      </c>
      <c r="AE6" s="13">
        <f t="shared" si="1"/>
        <v>0</v>
      </c>
      <c r="AF6" s="13">
        <f t="shared" si="1"/>
        <v>1</v>
      </c>
      <c r="AG6" s="13">
        <f t="shared" si="1"/>
        <v>0</v>
      </c>
      <c r="AH6" s="13">
        <f t="shared" si="1"/>
        <v>0</v>
      </c>
      <c r="AI6" s="13">
        <f t="shared" si="1"/>
        <v>0</v>
      </c>
      <c r="AJ6" s="13">
        <f t="shared" si="1"/>
        <v>0</v>
      </c>
      <c r="AL6" s="1">
        <f>SUM(G28:AH28)</f>
        <v>1.7051119643252588</v>
      </c>
      <c r="AN6">
        <v>0</v>
      </c>
      <c r="AO6" s="18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</row>
    <row r="7" spans="1:70" x14ac:dyDescent="0.2">
      <c r="E7" t="s">
        <v>15</v>
      </c>
      <c r="F7" s="3" t="s">
        <v>10</v>
      </c>
      <c r="G7" s="4">
        <v>3</v>
      </c>
      <c r="H7" s="4">
        <v>0</v>
      </c>
      <c r="I7" s="4">
        <v>0</v>
      </c>
      <c r="J7" s="4">
        <v>0</v>
      </c>
      <c r="K7" s="4">
        <v>0</v>
      </c>
      <c r="L7" s="4">
        <v>1</v>
      </c>
      <c r="M7" s="4">
        <v>0</v>
      </c>
      <c r="N7" s="4">
        <v>1.2078321050346021</v>
      </c>
      <c r="O7" s="4">
        <v>0</v>
      </c>
      <c r="P7" s="4">
        <v>0</v>
      </c>
      <c r="Q7" s="4">
        <v>1</v>
      </c>
      <c r="R7" s="4">
        <v>0</v>
      </c>
      <c r="S7" s="4">
        <v>0</v>
      </c>
      <c r="T7" s="4">
        <v>0</v>
      </c>
      <c r="U7" s="4">
        <v>0.47522103541522515</v>
      </c>
      <c r="V7" s="4">
        <v>0.999999999999999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2.2058823875432485E-2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0</v>
      </c>
      <c r="AK7">
        <f>SUMPRODUCT($G$6:$AJ$6,G7:AJ7)</f>
        <v>5.9999999999999991</v>
      </c>
      <c r="AL7" s="6" t="s">
        <v>16</v>
      </c>
      <c r="AM7">
        <f>SUM(G3:AJ3)</f>
        <v>6</v>
      </c>
    </row>
    <row r="8" spans="1:70" x14ac:dyDescent="0.2">
      <c r="A8" s="11" t="s">
        <v>1</v>
      </c>
      <c r="B8" t="s">
        <v>4</v>
      </c>
      <c r="C8" t="s">
        <v>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</row>
    <row r="9" spans="1:70" x14ac:dyDescent="0.2">
      <c r="A9" s="16" t="s">
        <v>6</v>
      </c>
      <c r="B9" s="17">
        <v>1.25</v>
      </c>
      <c r="C9" s="18">
        <v>1</v>
      </c>
    </row>
    <row r="10" spans="1:70" x14ac:dyDescent="0.2">
      <c r="A10" s="16" t="s">
        <v>7</v>
      </c>
      <c r="B10" s="17">
        <v>5.99</v>
      </c>
      <c r="C10" s="18">
        <v>2</v>
      </c>
      <c r="F10" s="2" t="s">
        <v>20</v>
      </c>
      <c r="G10" s="2">
        <v>1</v>
      </c>
      <c r="H10" s="2">
        <v>2</v>
      </c>
      <c r="I10" s="2">
        <v>3</v>
      </c>
      <c r="J10" s="2">
        <v>4</v>
      </c>
      <c r="K10" s="2">
        <v>5</v>
      </c>
      <c r="L10" s="2">
        <v>6</v>
      </c>
      <c r="M10" s="2">
        <v>7</v>
      </c>
      <c r="N10" s="2">
        <v>8</v>
      </c>
      <c r="O10" s="2">
        <v>9</v>
      </c>
      <c r="P10" s="2">
        <v>10</v>
      </c>
      <c r="Q10" s="2">
        <v>11</v>
      </c>
      <c r="R10" s="2">
        <v>12</v>
      </c>
      <c r="S10" s="2">
        <v>13</v>
      </c>
      <c r="T10" s="2">
        <v>14</v>
      </c>
      <c r="U10" s="2">
        <v>15</v>
      </c>
      <c r="V10" s="2">
        <v>16</v>
      </c>
      <c r="W10" s="2">
        <v>17</v>
      </c>
      <c r="X10" s="2">
        <v>18</v>
      </c>
      <c r="Y10" s="2">
        <v>19</v>
      </c>
      <c r="Z10" s="2">
        <v>20</v>
      </c>
      <c r="AA10" s="2">
        <v>21</v>
      </c>
      <c r="AB10" s="2">
        <v>22</v>
      </c>
      <c r="AC10" s="2">
        <v>23</v>
      </c>
      <c r="AD10" s="2">
        <v>24</v>
      </c>
      <c r="AE10" s="2">
        <v>25</v>
      </c>
      <c r="AF10" s="2">
        <v>26</v>
      </c>
      <c r="AG10" s="2">
        <v>27</v>
      </c>
      <c r="AH10" s="2">
        <v>28</v>
      </c>
      <c r="AI10" s="2">
        <v>29</v>
      </c>
      <c r="AJ10" s="2">
        <v>30</v>
      </c>
    </row>
    <row r="11" spans="1:70" x14ac:dyDescent="0.2">
      <c r="A11" s="16" t="s">
        <v>8</v>
      </c>
      <c r="B11" s="17">
        <v>0.27</v>
      </c>
      <c r="C11" s="18">
        <v>1</v>
      </c>
      <c r="F11" s="3" t="s">
        <v>10</v>
      </c>
      <c r="G11">
        <v>0</v>
      </c>
      <c r="H11">
        <f t="shared" ref="H11:AJ11" si="2">IF(H15=0,0,IF(H19&gt;G19,G19-H3,IF(G11&gt;0,G11-1,0)))</f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-1</v>
      </c>
      <c r="M11">
        <f t="shared" si="2"/>
        <v>0</v>
      </c>
      <c r="N11">
        <f t="shared" si="2"/>
        <v>-1</v>
      </c>
      <c r="O11">
        <f t="shared" si="2"/>
        <v>0</v>
      </c>
      <c r="P11">
        <f t="shared" si="2"/>
        <v>0</v>
      </c>
      <c r="Q11">
        <f t="shared" si="2"/>
        <v>0</v>
      </c>
      <c r="R11">
        <f t="shared" si="2"/>
        <v>0</v>
      </c>
      <c r="S11">
        <f t="shared" si="2"/>
        <v>0</v>
      </c>
      <c r="T11">
        <f t="shared" si="2"/>
        <v>0</v>
      </c>
      <c r="U11">
        <f t="shared" si="2"/>
        <v>0</v>
      </c>
      <c r="V11">
        <f t="shared" si="2"/>
        <v>0.47522103541522515</v>
      </c>
      <c r="W11">
        <f t="shared" si="2"/>
        <v>-0.52477896458477491</v>
      </c>
      <c r="X11">
        <f t="shared" si="2"/>
        <v>0</v>
      </c>
      <c r="Y11">
        <f t="shared" si="2"/>
        <v>0</v>
      </c>
      <c r="Z11">
        <f t="shared" si="2"/>
        <v>0</v>
      </c>
      <c r="AA11">
        <f t="shared" si="2"/>
        <v>0</v>
      </c>
      <c r="AB11">
        <f t="shared" si="2"/>
        <v>0</v>
      </c>
      <c r="AC11">
        <f t="shared" si="2"/>
        <v>0</v>
      </c>
      <c r="AD11">
        <f t="shared" si="2"/>
        <v>0</v>
      </c>
      <c r="AE11">
        <f t="shared" si="2"/>
        <v>0</v>
      </c>
      <c r="AF11">
        <f t="shared" si="2"/>
        <v>0</v>
      </c>
      <c r="AG11">
        <f t="shared" si="2"/>
        <v>0</v>
      </c>
      <c r="AH11">
        <f t="shared" si="2"/>
        <v>0</v>
      </c>
      <c r="AI11">
        <f t="shared" si="2"/>
        <v>0</v>
      </c>
      <c r="AJ11">
        <f t="shared" si="2"/>
        <v>0</v>
      </c>
    </row>
    <row r="12" spans="1:70" x14ac:dyDescent="0.2">
      <c r="A12" s="16" t="s">
        <v>9</v>
      </c>
      <c r="B12" s="17">
        <v>3.49</v>
      </c>
      <c r="C12" s="18">
        <v>6</v>
      </c>
      <c r="G12" s="14">
        <v>1</v>
      </c>
      <c r="H12" s="14">
        <v>2</v>
      </c>
      <c r="I12" s="14">
        <v>3</v>
      </c>
      <c r="J12" s="14">
        <v>4</v>
      </c>
      <c r="K12" s="14">
        <v>5</v>
      </c>
      <c r="L12" s="14">
        <v>6</v>
      </c>
      <c r="M12" s="14">
        <v>7</v>
      </c>
      <c r="N12" s="14">
        <v>8</v>
      </c>
      <c r="O12" s="14">
        <v>9</v>
      </c>
      <c r="P12" s="14">
        <v>10</v>
      </c>
      <c r="Q12" s="14">
        <v>11</v>
      </c>
      <c r="R12" s="14">
        <v>12</v>
      </c>
      <c r="S12" s="14">
        <v>13</v>
      </c>
      <c r="T12" s="14">
        <v>14</v>
      </c>
      <c r="U12" s="14">
        <v>15</v>
      </c>
      <c r="V12" s="14">
        <v>16</v>
      </c>
      <c r="W12" s="14">
        <v>17</v>
      </c>
      <c r="X12" s="14">
        <v>18</v>
      </c>
      <c r="Y12" s="14">
        <v>19</v>
      </c>
      <c r="Z12" s="14">
        <v>20</v>
      </c>
      <c r="AA12" s="14">
        <v>21</v>
      </c>
      <c r="AB12" s="14">
        <v>22</v>
      </c>
      <c r="AC12" s="14">
        <v>23</v>
      </c>
      <c r="AD12" s="14">
        <v>24</v>
      </c>
      <c r="AE12" s="14">
        <v>25</v>
      </c>
      <c r="AF12" s="14">
        <v>26</v>
      </c>
      <c r="AG12" s="14">
        <v>27</v>
      </c>
      <c r="AH12" s="14">
        <v>28</v>
      </c>
      <c r="AI12" s="14">
        <v>29</v>
      </c>
      <c r="AJ12" s="14">
        <v>30</v>
      </c>
    </row>
    <row r="13" spans="1:70" x14ac:dyDescent="0.2">
      <c r="A13" s="16" t="s">
        <v>10</v>
      </c>
      <c r="B13" s="17">
        <v>4.99</v>
      </c>
      <c r="C13" s="18">
        <v>5</v>
      </c>
      <c r="H13">
        <f t="shared" ref="H13:AJ13" ca="1" si="3">IF(H6=1,SUM(OFFSET(H3,0,0,1,$AM$2)),0)</f>
        <v>0</v>
      </c>
      <c r="I13">
        <f t="shared" ca="1" si="3"/>
        <v>0</v>
      </c>
      <c r="J13">
        <f t="shared" ca="1" si="3"/>
        <v>0</v>
      </c>
      <c r="K13">
        <f t="shared" ca="1" si="3"/>
        <v>0</v>
      </c>
      <c r="L13">
        <f t="shared" ca="1" si="3"/>
        <v>1</v>
      </c>
      <c r="M13">
        <f t="shared" ca="1" si="3"/>
        <v>0</v>
      </c>
      <c r="N13">
        <f t="shared" ca="1" si="3"/>
        <v>0</v>
      </c>
      <c r="O13">
        <f t="shared" ca="1" si="3"/>
        <v>0</v>
      </c>
      <c r="P13">
        <f t="shared" ca="1" si="3"/>
        <v>0</v>
      </c>
      <c r="Q13">
        <f t="shared" ca="1" si="3"/>
        <v>1</v>
      </c>
      <c r="R13">
        <f t="shared" ca="1" si="3"/>
        <v>0</v>
      </c>
      <c r="S13">
        <f t="shared" ca="1" si="3"/>
        <v>0</v>
      </c>
      <c r="T13">
        <f t="shared" ca="1" si="3"/>
        <v>0</v>
      </c>
      <c r="U13">
        <f t="shared" ca="1" si="3"/>
        <v>0</v>
      </c>
      <c r="V13">
        <f t="shared" ca="1" si="3"/>
        <v>1</v>
      </c>
      <c r="W13">
        <f t="shared" ca="1" si="3"/>
        <v>0</v>
      </c>
      <c r="X13">
        <f t="shared" ca="1" si="3"/>
        <v>0</v>
      </c>
      <c r="Y13">
        <f t="shared" ca="1" si="3"/>
        <v>0</v>
      </c>
      <c r="Z13">
        <f t="shared" ca="1" si="3"/>
        <v>0</v>
      </c>
      <c r="AA13">
        <f t="shared" ca="1" si="3"/>
        <v>0</v>
      </c>
      <c r="AB13">
        <f t="shared" ca="1" si="3"/>
        <v>0</v>
      </c>
      <c r="AC13">
        <f t="shared" ca="1" si="3"/>
        <v>0</v>
      </c>
      <c r="AD13">
        <f t="shared" ca="1" si="3"/>
        <v>0</v>
      </c>
      <c r="AE13">
        <f t="shared" ca="1" si="3"/>
        <v>0</v>
      </c>
      <c r="AF13">
        <f t="shared" ca="1" si="3"/>
        <v>0</v>
      </c>
      <c r="AG13">
        <f t="shared" ca="1" si="3"/>
        <v>0</v>
      </c>
      <c r="AH13">
        <f t="shared" ca="1" si="3"/>
        <v>0</v>
      </c>
      <c r="AI13">
        <f t="shared" ca="1" si="3"/>
        <v>0</v>
      </c>
      <c r="AJ13">
        <f t="shared" ca="1" si="3"/>
        <v>0</v>
      </c>
    </row>
    <row r="14" spans="1:70" x14ac:dyDescent="0.2">
      <c r="A14" s="16" t="s">
        <v>11</v>
      </c>
      <c r="B14" s="17">
        <v>4.99</v>
      </c>
      <c r="C14" s="18">
        <v>6</v>
      </c>
      <c r="F14" s="19" t="s">
        <v>22</v>
      </c>
      <c r="G14" s="2">
        <v>1</v>
      </c>
      <c r="H14" s="2">
        <v>2</v>
      </c>
      <c r="I14" s="2">
        <v>3</v>
      </c>
      <c r="J14" s="2">
        <v>4</v>
      </c>
      <c r="K14" s="2">
        <v>5</v>
      </c>
      <c r="L14" s="2">
        <v>6</v>
      </c>
      <c r="M14" s="2">
        <v>7</v>
      </c>
      <c r="N14" s="2">
        <v>8</v>
      </c>
      <c r="O14" s="2">
        <v>9</v>
      </c>
      <c r="P14" s="2">
        <v>10</v>
      </c>
      <c r="Q14" s="2">
        <v>11</v>
      </c>
      <c r="R14" s="2">
        <v>12</v>
      </c>
      <c r="S14" s="2">
        <v>13</v>
      </c>
      <c r="T14" s="2">
        <v>14</v>
      </c>
      <c r="U14" s="2">
        <v>15</v>
      </c>
      <c r="V14" s="2">
        <v>16</v>
      </c>
      <c r="W14" s="2">
        <v>17</v>
      </c>
      <c r="X14" s="2">
        <v>18</v>
      </c>
      <c r="Y14" s="2">
        <v>19</v>
      </c>
      <c r="Z14" s="2">
        <v>20</v>
      </c>
      <c r="AA14" s="2">
        <v>21</v>
      </c>
      <c r="AB14" s="2">
        <v>22</v>
      </c>
      <c r="AC14" s="2">
        <v>23</v>
      </c>
      <c r="AD14" s="2">
        <v>24</v>
      </c>
      <c r="AE14" s="2">
        <v>25</v>
      </c>
      <c r="AF14" s="2">
        <v>26</v>
      </c>
      <c r="AG14" s="2">
        <v>27</v>
      </c>
      <c r="AH14" s="2">
        <v>28</v>
      </c>
      <c r="AI14" s="2">
        <v>29</v>
      </c>
      <c r="AJ14" s="2">
        <v>30</v>
      </c>
    </row>
    <row r="15" spans="1:70" x14ac:dyDescent="0.2">
      <c r="A15" s="16" t="s">
        <v>12</v>
      </c>
      <c r="B15" s="17">
        <v>0.9</v>
      </c>
      <c r="C15" s="18">
        <v>1</v>
      </c>
      <c r="F15" s="3" t="s">
        <v>10</v>
      </c>
      <c r="G15">
        <v>0</v>
      </c>
      <c r="H15">
        <f t="shared" ref="H15:AJ15" si="4">IF(AND(H7&gt;0,G19-H3&gt;0),G22-1,G15-1)</f>
        <v>-1</v>
      </c>
      <c r="I15">
        <f t="shared" si="4"/>
        <v>-2</v>
      </c>
      <c r="J15">
        <f t="shared" si="4"/>
        <v>-3</v>
      </c>
      <c r="K15">
        <f t="shared" si="4"/>
        <v>-4</v>
      </c>
      <c r="L15">
        <f t="shared" si="4"/>
        <v>-5</v>
      </c>
      <c r="M15">
        <f t="shared" si="4"/>
        <v>-6</v>
      </c>
      <c r="N15">
        <f t="shared" si="4"/>
        <v>-7</v>
      </c>
      <c r="O15">
        <f t="shared" si="4"/>
        <v>-8</v>
      </c>
      <c r="P15">
        <f t="shared" si="4"/>
        <v>-9</v>
      </c>
      <c r="Q15">
        <f t="shared" si="4"/>
        <v>0</v>
      </c>
      <c r="R15">
        <f t="shared" si="4"/>
        <v>-1</v>
      </c>
      <c r="S15">
        <f t="shared" si="4"/>
        <v>-2</v>
      </c>
      <c r="T15">
        <f t="shared" si="4"/>
        <v>-3</v>
      </c>
      <c r="U15">
        <f t="shared" si="4"/>
        <v>-4</v>
      </c>
      <c r="V15">
        <f t="shared" si="4"/>
        <v>2</v>
      </c>
      <c r="W15">
        <f t="shared" si="4"/>
        <v>1</v>
      </c>
      <c r="X15">
        <f t="shared" si="4"/>
        <v>0</v>
      </c>
      <c r="Y15">
        <f t="shared" si="4"/>
        <v>-1</v>
      </c>
      <c r="Z15">
        <f t="shared" si="4"/>
        <v>-2</v>
      </c>
      <c r="AA15">
        <f t="shared" si="4"/>
        <v>-3</v>
      </c>
      <c r="AB15">
        <f t="shared" si="4"/>
        <v>-4</v>
      </c>
      <c r="AC15">
        <f t="shared" si="4"/>
        <v>-5</v>
      </c>
      <c r="AD15">
        <f t="shared" si="4"/>
        <v>-6</v>
      </c>
      <c r="AE15">
        <f t="shared" si="4"/>
        <v>-7</v>
      </c>
      <c r="AF15">
        <f t="shared" si="4"/>
        <v>-8</v>
      </c>
      <c r="AG15">
        <f t="shared" si="4"/>
        <v>-9</v>
      </c>
      <c r="AH15">
        <f t="shared" si="4"/>
        <v>-10</v>
      </c>
      <c r="AI15">
        <f t="shared" si="4"/>
        <v>-11</v>
      </c>
      <c r="AJ15">
        <f t="shared" si="4"/>
        <v>-12</v>
      </c>
    </row>
    <row r="16" spans="1:70" x14ac:dyDescent="0.2">
      <c r="A16" s="16" t="s">
        <v>13</v>
      </c>
      <c r="B16" s="17">
        <v>2.4900000000000002</v>
      </c>
      <c r="C16" s="18">
        <v>5</v>
      </c>
      <c r="F16" s="3"/>
    </row>
    <row r="17" spans="5:70" x14ac:dyDescent="0.2">
      <c r="F17" s="15" t="s">
        <v>17</v>
      </c>
    </row>
    <row r="18" spans="5:70" x14ac:dyDescent="0.2">
      <c r="F18" s="10" t="s">
        <v>18</v>
      </c>
      <c r="G18" s="2">
        <v>1</v>
      </c>
      <c r="H18" s="2">
        <v>2</v>
      </c>
      <c r="I18" s="2">
        <v>3</v>
      </c>
      <c r="J18" s="2">
        <v>4</v>
      </c>
      <c r="K18" s="2">
        <v>5</v>
      </c>
      <c r="L18" s="2">
        <v>6</v>
      </c>
      <c r="M18" s="2">
        <v>7</v>
      </c>
      <c r="N18" s="2">
        <v>8</v>
      </c>
      <c r="O18" s="2">
        <v>9</v>
      </c>
      <c r="P18" s="2">
        <v>10</v>
      </c>
      <c r="Q18" s="2">
        <v>11</v>
      </c>
      <c r="R18" s="2">
        <v>12</v>
      </c>
      <c r="S18" s="2">
        <v>13</v>
      </c>
      <c r="T18" s="2">
        <v>14</v>
      </c>
      <c r="U18" s="2">
        <v>15</v>
      </c>
      <c r="V18" s="2">
        <v>16</v>
      </c>
      <c r="W18" s="2">
        <v>17</v>
      </c>
      <c r="X18" s="2">
        <v>18</v>
      </c>
      <c r="Y18" s="2">
        <v>19</v>
      </c>
      <c r="Z18" s="2">
        <v>20</v>
      </c>
      <c r="AA18" s="2">
        <v>21</v>
      </c>
      <c r="AB18" s="2">
        <v>22</v>
      </c>
      <c r="AC18" s="2">
        <v>23</v>
      </c>
      <c r="AD18" s="2">
        <v>24</v>
      </c>
      <c r="AE18" s="2">
        <v>25</v>
      </c>
      <c r="AF18" s="2">
        <v>26</v>
      </c>
      <c r="AG18" s="2">
        <v>27</v>
      </c>
      <c r="AH18" s="2">
        <v>28</v>
      </c>
      <c r="AI18" s="2">
        <v>29</v>
      </c>
      <c r="AJ18" s="2">
        <v>30</v>
      </c>
    </row>
    <row r="19" spans="5:70" x14ac:dyDescent="0.2">
      <c r="F19" s="3" t="s">
        <v>10</v>
      </c>
      <c r="G19">
        <f>G25</f>
        <v>3</v>
      </c>
      <c r="H19">
        <f t="shared" ref="H19:AJ19" si="5">IF(H22=0,0-H3,G19+H25-H3)</f>
        <v>3</v>
      </c>
      <c r="I19">
        <f t="shared" si="5"/>
        <v>2</v>
      </c>
      <c r="J19">
        <f t="shared" si="5"/>
        <v>-1</v>
      </c>
      <c r="K19">
        <f t="shared" si="5"/>
        <v>-1</v>
      </c>
      <c r="L19">
        <f t="shared" si="5"/>
        <v>0</v>
      </c>
      <c r="M19">
        <f t="shared" si="5"/>
        <v>-1</v>
      </c>
      <c r="N19">
        <f t="shared" si="5"/>
        <v>0.20783210503460214</v>
      </c>
      <c r="O19">
        <f t="shared" si="5"/>
        <v>0.20783210503460214</v>
      </c>
      <c r="P19">
        <f t="shared" si="5"/>
        <v>0.20783210503460214</v>
      </c>
      <c r="Q19">
        <f t="shared" si="5"/>
        <v>1.2078321050346021</v>
      </c>
      <c r="R19">
        <f t="shared" si="5"/>
        <v>0.20783210503460214</v>
      </c>
      <c r="S19">
        <f t="shared" si="5"/>
        <v>0.20783210503460214</v>
      </c>
      <c r="T19">
        <f t="shared" si="5"/>
        <v>0</v>
      </c>
      <c r="U19">
        <f t="shared" si="5"/>
        <v>0.47522103541522515</v>
      </c>
      <c r="V19">
        <f t="shared" si="5"/>
        <v>1.4752210354152242</v>
      </c>
      <c r="W19">
        <f t="shared" si="5"/>
        <v>0.4752210354152242</v>
      </c>
      <c r="X19">
        <f t="shared" si="5"/>
        <v>0.4752210354152242</v>
      </c>
      <c r="Y19">
        <f t="shared" si="5"/>
        <v>0</v>
      </c>
      <c r="Z19">
        <f t="shared" si="5"/>
        <v>0</v>
      </c>
      <c r="AA19">
        <f t="shared" si="5"/>
        <v>0</v>
      </c>
      <c r="AB19">
        <f t="shared" si="5"/>
        <v>2.2058823875432485E-2</v>
      </c>
      <c r="AC19">
        <f t="shared" si="5"/>
        <v>2.2058823875432485E-2</v>
      </c>
      <c r="AD19">
        <f t="shared" si="5"/>
        <v>2.2058823875432485E-2</v>
      </c>
      <c r="AE19">
        <f t="shared" si="5"/>
        <v>0</v>
      </c>
      <c r="AF19">
        <f t="shared" si="5"/>
        <v>0</v>
      </c>
      <c r="AG19">
        <f t="shared" si="5"/>
        <v>0</v>
      </c>
      <c r="AH19">
        <f t="shared" si="5"/>
        <v>0</v>
      </c>
      <c r="AI19">
        <f t="shared" si="5"/>
        <v>0</v>
      </c>
      <c r="AJ19">
        <f t="shared" si="5"/>
        <v>0</v>
      </c>
      <c r="BR19" s="3"/>
    </row>
    <row r="21" spans="5:70" x14ac:dyDescent="0.2">
      <c r="F21" s="10" t="s">
        <v>23</v>
      </c>
      <c r="G21" s="2">
        <v>1</v>
      </c>
      <c r="H21" s="2">
        <v>2</v>
      </c>
      <c r="I21" s="2">
        <v>3</v>
      </c>
      <c r="J21" s="2">
        <v>4</v>
      </c>
      <c r="K21" s="2">
        <v>5</v>
      </c>
      <c r="L21" s="2">
        <v>6</v>
      </c>
      <c r="M21" s="2">
        <v>7</v>
      </c>
      <c r="N21" s="2">
        <v>8</v>
      </c>
      <c r="O21" s="2">
        <v>9</v>
      </c>
      <c r="P21" s="2">
        <v>10</v>
      </c>
      <c r="Q21" s="2">
        <v>11</v>
      </c>
      <c r="R21" s="2">
        <v>12</v>
      </c>
      <c r="S21" s="2">
        <v>13</v>
      </c>
      <c r="T21" s="2">
        <v>14</v>
      </c>
      <c r="U21" s="2">
        <v>15</v>
      </c>
      <c r="V21" s="2">
        <v>16</v>
      </c>
      <c r="W21" s="2">
        <v>17</v>
      </c>
      <c r="X21" s="2">
        <v>18</v>
      </c>
      <c r="Y21" s="2">
        <v>19</v>
      </c>
      <c r="Z21" s="2">
        <v>20</v>
      </c>
      <c r="AA21" s="2">
        <v>21</v>
      </c>
      <c r="AB21" s="2">
        <v>22</v>
      </c>
      <c r="AC21" s="2">
        <v>23</v>
      </c>
      <c r="AD21" s="2">
        <v>24</v>
      </c>
      <c r="AE21" s="2">
        <v>25</v>
      </c>
      <c r="AF21" s="2">
        <v>26</v>
      </c>
      <c r="AG21" s="2">
        <v>27</v>
      </c>
      <c r="AH21" s="2">
        <v>28</v>
      </c>
      <c r="AI21" s="2">
        <v>29</v>
      </c>
      <c r="AJ21" s="2">
        <v>30</v>
      </c>
    </row>
    <row r="22" spans="5:70" x14ac:dyDescent="0.2">
      <c r="F22" s="3" t="s">
        <v>10</v>
      </c>
      <c r="G22">
        <f>IF(G7&gt;0,E3,0)</f>
        <v>3</v>
      </c>
      <c r="H22">
        <f t="shared" ref="H22:AJ22" si="6">IF(H7=0,G22-1,$E3)</f>
        <v>2</v>
      </c>
      <c r="I22">
        <f t="shared" si="6"/>
        <v>1</v>
      </c>
      <c r="J22">
        <f t="shared" si="6"/>
        <v>0</v>
      </c>
      <c r="K22">
        <f t="shared" si="6"/>
        <v>-1</v>
      </c>
      <c r="L22">
        <f t="shared" si="6"/>
        <v>3</v>
      </c>
      <c r="M22">
        <f t="shared" si="6"/>
        <v>2</v>
      </c>
      <c r="N22">
        <f t="shared" si="6"/>
        <v>3</v>
      </c>
      <c r="O22">
        <f t="shared" si="6"/>
        <v>2</v>
      </c>
      <c r="P22">
        <f t="shared" si="6"/>
        <v>1</v>
      </c>
      <c r="Q22">
        <f t="shared" si="6"/>
        <v>3</v>
      </c>
      <c r="R22">
        <f t="shared" si="6"/>
        <v>2</v>
      </c>
      <c r="S22">
        <f t="shared" si="6"/>
        <v>1</v>
      </c>
      <c r="T22">
        <f t="shared" si="6"/>
        <v>0</v>
      </c>
      <c r="U22">
        <f t="shared" si="6"/>
        <v>3</v>
      </c>
      <c r="V22">
        <f t="shared" si="6"/>
        <v>3</v>
      </c>
      <c r="W22">
        <f t="shared" si="6"/>
        <v>2</v>
      </c>
      <c r="X22">
        <f t="shared" si="6"/>
        <v>1</v>
      </c>
      <c r="Y22">
        <f t="shared" si="6"/>
        <v>0</v>
      </c>
      <c r="Z22">
        <f t="shared" si="6"/>
        <v>-1</v>
      </c>
      <c r="AA22">
        <f t="shared" si="6"/>
        <v>-2</v>
      </c>
      <c r="AB22">
        <f t="shared" si="6"/>
        <v>3</v>
      </c>
      <c r="AC22">
        <f t="shared" si="6"/>
        <v>2</v>
      </c>
      <c r="AD22">
        <f t="shared" si="6"/>
        <v>1</v>
      </c>
      <c r="AE22">
        <f t="shared" si="6"/>
        <v>0</v>
      </c>
      <c r="AF22">
        <f t="shared" si="6"/>
        <v>-1</v>
      </c>
      <c r="AG22">
        <f t="shared" si="6"/>
        <v>-2</v>
      </c>
      <c r="AH22">
        <f t="shared" si="6"/>
        <v>-3</v>
      </c>
      <c r="AI22">
        <f t="shared" si="6"/>
        <v>-4</v>
      </c>
      <c r="AJ22">
        <f t="shared" si="6"/>
        <v>-5</v>
      </c>
    </row>
    <row r="23" spans="5:70" x14ac:dyDescent="0.2">
      <c r="F23" s="3"/>
    </row>
    <row r="24" spans="5:70" x14ac:dyDescent="0.2">
      <c r="F24" s="10" t="s">
        <v>19</v>
      </c>
      <c r="G24" s="2">
        <v>1</v>
      </c>
      <c r="H24" s="2">
        <v>2</v>
      </c>
      <c r="I24" s="2">
        <v>3</v>
      </c>
      <c r="J24" s="2">
        <v>4</v>
      </c>
      <c r="K24" s="2">
        <v>5</v>
      </c>
      <c r="L24" s="2">
        <v>6</v>
      </c>
      <c r="M24" s="2">
        <v>7</v>
      </c>
      <c r="N24" s="2">
        <v>8</v>
      </c>
      <c r="O24" s="2">
        <v>9</v>
      </c>
      <c r="P24" s="2">
        <v>10</v>
      </c>
      <c r="Q24" s="2">
        <v>11</v>
      </c>
      <c r="R24" s="2">
        <v>12</v>
      </c>
      <c r="S24" s="2">
        <v>13</v>
      </c>
      <c r="T24" s="2">
        <v>14</v>
      </c>
      <c r="U24" s="2">
        <v>15</v>
      </c>
      <c r="V24" s="2">
        <v>16</v>
      </c>
      <c r="W24" s="2">
        <v>17</v>
      </c>
      <c r="X24" s="2">
        <v>18</v>
      </c>
      <c r="Y24" s="2">
        <v>19</v>
      </c>
      <c r="Z24" s="2">
        <v>20</v>
      </c>
      <c r="AA24" s="2">
        <v>21</v>
      </c>
      <c r="AB24" s="2">
        <v>22</v>
      </c>
      <c r="AC24" s="2">
        <v>23</v>
      </c>
      <c r="AD24" s="2">
        <v>24</v>
      </c>
      <c r="AE24" s="2">
        <v>25</v>
      </c>
      <c r="AF24" s="2">
        <v>26</v>
      </c>
      <c r="AG24" s="2">
        <v>27</v>
      </c>
      <c r="AH24" s="2">
        <v>28</v>
      </c>
      <c r="AI24" s="2">
        <v>29</v>
      </c>
      <c r="AJ24" s="2">
        <v>30</v>
      </c>
      <c r="BO24" s="14"/>
      <c r="BP24" s="14"/>
      <c r="BQ24" s="14"/>
      <c r="BR24" s="3"/>
    </row>
    <row r="25" spans="5:70" x14ac:dyDescent="0.2">
      <c r="F25" s="3" t="s">
        <v>10</v>
      </c>
      <c r="G25">
        <f t="shared" ref="G25:AJ25" si="7">G7*$C9</f>
        <v>3</v>
      </c>
      <c r="H25">
        <f t="shared" si="7"/>
        <v>0</v>
      </c>
      <c r="I25">
        <f t="shared" si="7"/>
        <v>0</v>
      </c>
      <c r="J25">
        <f t="shared" si="7"/>
        <v>0</v>
      </c>
      <c r="K25">
        <f t="shared" si="7"/>
        <v>0</v>
      </c>
      <c r="L25">
        <f t="shared" si="7"/>
        <v>1</v>
      </c>
      <c r="M25">
        <f t="shared" si="7"/>
        <v>0</v>
      </c>
      <c r="N25">
        <f t="shared" si="7"/>
        <v>1.2078321050346021</v>
      </c>
      <c r="O25">
        <f t="shared" si="7"/>
        <v>0</v>
      </c>
      <c r="P25">
        <f t="shared" si="7"/>
        <v>0</v>
      </c>
      <c r="Q25">
        <f t="shared" si="7"/>
        <v>1</v>
      </c>
      <c r="R25">
        <f t="shared" si="7"/>
        <v>0</v>
      </c>
      <c r="S25">
        <f t="shared" si="7"/>
        <v>0</v>
      </c>
      <c r="T25">
        <f t="shared" si="7"/>
        <v>0</v>
      </c>
      <c r="U25">
        <f t="shared" si="7"/>
        <v>0.47522103541522515</v>
      </c>
      <c r="V25">
        <f t="shared" si="7"/>
        <v>0.999999999999999</v>
      </c>
      <c r="W25">
        <f t="shared" si="7"/>
        <v>0</v>
      </c>
      <c r="X25">
        <f t="shared" si="7"/>
        <v>0</v>
      </c>
      <c r="Y25">
        <f t="shared" si="7"/>
        <v>0</v>
      </c>
      <c r="Z25">
        <f t="shared" si="7"/>
        <v>0</v>
      </c>
      <c r="AA25">
        <f t="shared" si="7"/>
        <v>0</v>
      </c>
      <c r="AB25">
        <f t="shared" si="7"/>
        <v>2.2058823875432485E-2</v>
      </c>
      <c r="AC25">
        <f t="shared" si="7"/>
        <v>0</v>
      </c>
      <c r="AD25">
        <f t="shared" si="7"/>
        <v>0</v>
      </c>
      <c r="AE25">
        <f t="shared" si="7"/>
        <v>0</v>
      </c>
      <c r="AF25">
        <f t="shared" si="7"/>
        <v>0</v>
      </c>
      <c r="AG25">
        <f t="shared" si="7"/>
        <v>0</v>
      </c>
      <c r="AH25">
        <f t="shared" si="7"/>
        <v>0</v>
      </c>
      <c r="AI25">
        <f t="shared" si="7"/>
        <v>0</v>
      </c>
      <c r="AJ25">
        <f t="shared" si="7"/>
        <v>0</v>
      </c>
      <c r="BR25" s="3"/>
    </row>
    <row r="26" spans="5:70" x14ac:dyDescent="0.2">
      <c r="F26" s="3"/>
      <c r="BR26" s="3"/>
    </row>
    <row r="27" spans="5:70" x14ac:dyDescent="0.2">
      <c r="F27" s="10" t="s">
        <v>24</v>
      </c>
      <c r="G27" s="2">
        <v>1</v>
      </c>
      <c r="H27" s="2">
        <v>2</v>
      </c>
      <c r="I27" s="2">
        <v>3</v>
      </c>
      <c r="J27" s="2">
        <v>4</v>
      </c>
      <c r="K27" s="2">
        <v>5</v>
      </c>
      <c r="L27" s="2">
        <v>6</v>
      </c>
      <c r="M27" s="2">
        <v>7</v>
      </c>
      <c r="N27" s="2">
        <v>8</v>
      </c>
      <c r="O27" s="2">
        <v>9</v>
      </c>
      <c r="P27" s="2">
        <v>10</v>
      </c>
      <c r="Q27" s="2">
        <v>11</v>
      </c>
      <c r="R27" s="2">
        <v>12</v>
      </c>
      <c r="S27" s="2">
        <v>13</v>
      </c>
      <c r="T27" s="2">
        <v>14</v>
      </c>
      <c r="U27" s="2">
        <v>15</v>
      </c>
      <c r="V27" s="2">
        <v>16</v>
      </c>
      <c r="W27" s="2">
        <v>17</v>
      </c>
      <c r="X27" s="2">
        <v>18</v>
      </c>
      <c r="Y27" s="2">
        <v>19</v>
      </c>
      <c r="Z27" s="2">
        <v>20</v>
      </c>
      <c r="AA27" s="2">
        <v>21</v>
      </c>
      <c r="AB27" s="2">
        <v>22</v>
      </c>
      <c r="AC27" s="2">
        <v>23</v>
      </c>
      <c r="AD27" s="2">
        <v>24</v>
      </c>
      <c r="AE27" s="2">
        <v>25</v>
      </c>
      <c r="AF27" s="2">
        <v>26</v>
      </c>
      <c r="AG27" s="2">
        <v>27</v>
      </c>
      <c r="AH27" s="2">
        <v>28</v>
      </c>
      <c r="AI27" s="2">
        <v>29</v>
      </c>
      <c r="AJ27" s="2">
        <v>30</v>
      </c>
      <c r="BR27" s="3"/>
    </row>
    <row r="28" spans="5:70" x14ac:dyDescent="0.2">
      <c r="F28" s="3" t="s">
        <v>10</v>
      </c>
      <c r="G28">
        <v>0</v>
      </c>
      <c r="H28">
        <f t="shared" ref="H28:AJ28" si="8">IF(H15=0,IF(H22=0, H19, IF(G11-H3&lt;0,0,G11-H3)),IF(H22=0,IF(G19-H3&lt;0,0,G19-H3),0))</f>
        <v>0</v>
      </c>
      <c r="I28">
        <f t="shared" si="8"/>
        <v>0</v>
      </c>
      <c r="J28">
        <f t="shared" si="8"/>
        <v>1</v>
      </c>
      <c r="K28">
        <f t="shared" si="8"/>
        <v>0</v>
      </c>
      <c r="L28">
        <f t="shared" si="8"/>
        <v>0</v>
      </c>
      <c r="M28">
        <f t="shared" si="8"/>
        <v>0</v>
      </c>
      <c r="N28">
        <f t="shared" si="8"/>
        <v>0</v>
      </c>
      <c r="O28">
        <f t="shared" si="8"/>
        <v>0</v>
      </c>
      <c r="P28">
        <f t="shared" si="8"/>
        <v>0</v>
      </c>
      <c r="Q28">
        <f t="shared" si="8"/>
        <v>0</v>
      </c>
      <c r="R28">
        <f t="shared" si="8"/>
        <v>0</v>
      </c>
      <c r="S28">
        <f t="shared" si="8"/>
        <v>0</v>
      </c>
      <c r="T28">
        <f t="shared" si="8"/>
        <v>0.20783210503460214</v>
      </c>
      <c r="U28">
        <f t="shared" si="8"/>
        <v>0</v>
      </c>
      <c r="V28">
        <f t="shared" si="8"/>
        <v>0</v>
      </c>
      <c r="W28">
        <f t="shared" si="8"/>
        <v>0</v>
      </c>
      <c r="X28">
        <f t="shared" si="8"/>
        <v>0</v>
      </c>
      <c r="Y28">
        <f t="shared" si="8"/>
        <v>0.4752210354152242</v>
      </c>
      <c r="Z28">
        <f t="shared" si="8"/>
        <v>0</v>
      </c>
      <c r="AA28">
        <f t="shared" si="8"/>
        <v>0</v>
      </c>
      <c r="AB28">
        <f t="shared" si="8"/>
        <v>0</v>
      </c>
      <c r="AC28">
        <f t="shared" si="8"/>
        <v>0</v>
      </c>
      <c r="AD28">
        <f t="shared" si="8"/>
        <v>0</v>
      </c>
      <c r="AE28">
        <f t="shared" si="8"/>
        <v>2.2058823875432485E-2</v>
      </c>
      <c r="AF28">
        <f t="shared" si="8"/>
        <v>0</v>
      </c>
      <c r="AG28">
        <f t="shared" si="8"/>
        <v>0</v>
      </c>
      <c r="AH28">
        <f t="shared" si="8"/>
        <v>0</v>
      </c>
      <c r="AI28">
        <f t="shared" si="8"/>
        <v>0</v>
      </c>
      <c r="AJ28">
        <f t="shared" si="8"/>
        <v>0</v>
      </c>
      <c r="BR28" s="3"/>
    </row>
    <row r="29" spans="5:70" x14ac:dyDescent="0.2">
      <c r="E29" s="3" t="s">
        <v>10</v>
      </c>
      <c r="F29">
        <v>1</v>
      </c>
      <c r="G29">
        <f>G$6</f>
        <v>1</v>
      </c>
      <c r="AK29">
        <f t="shared" ref="AK29:AK58" si="9">SUMPRODUCT($G$7:$AJ$7,G29:AJ29)</f>
        <v>3</v>
      </c>
      <c r="AL29" t="s">
        <v>16</v>
      </c>
      <c r="AM29">
        <f ca="1">IF(G6=1,SUM(OFFSET(G3,0,0,1,$AM$2)),0)</f>
        <v>3</v>
      </c>
      <c r="BR29" s="3"/>
    </row>
    <row r="30" spans="5:70" x14ac:dyDescent="0.2">
      <c r="F30">
        <v>2</v>
      </c>
      <c r="H30">
        <v>1</v>
      </c>
      <c r="AK30">
        <f t="shared" si="9"/>
        <v>0</v>
      </c>
      <c r="AL30" t="s">
        <v>16</v>
      </c>
      <c r="AM30">
        <f ca="1">H13</f>
        <v>0</v>
      </c>
      <c r="BR30" s="3"/>
    </row>
    <row r="31" spans="5:70" x14ac:dyDescent="0.2">
      <c r="F31">
        <v>3</v>
      </c>
      <c r="I31">
        <v>1</v>
      </c>
      <c r="AK31">
        <f t="shared" si="9"/>
        <v>0</v>
      </c>
      <c r="AL31" t="s">
        <v>16</v>
      </c>
      <c r="AM31">
        <f ca="1">I13</f>
        <v>0</v>
      </c>
      <c r="BR31" s="3"/>
    </row>
    <row r="32" spans="5:70" x14ac:dyDescent="0.2">
      <c r="F32">
        <v>4</v>
      </c>
      <c r="J32">
        <v>1</v>
      </c>
      <c r="AK32">
        <f t="shared" si="9"/>
        <v>0</v>
      </c>
      <c r="AL32" t="s">
        <v>16</v>
      </c>
      <c r="AM32">
        <f ca="1">J13</f>
        <v>0</v>
      </c>
      <c r="BR32" s="3"/>
    </row>
    <row r="33" spans="6:70" ht="15.5" x14ac:dyDescent="0.2">
      <c r="F33">
        <v>5</v>
      </c>
      <c r="K33">
        <v>1</v>
      </c>
      <c r="AK33">
        <f t="shared" si="9"/>
        <v>0</v>
      </c>
      <c r="AL33" t="s">
        <v>16</v>
      </c>
      <c r="AM33">
        <f ca="1">K13</f>
        <v>0</v>
      </c>
    </row>
    <row r="34" spans="6:70" ht="15.5" x14ac:dyDescent="0.2">
      <c r="F34">
        <v>6</v>
      </c>
      <c r="L34">
        <v>1</v>
      </c>
      <c r="AK34">
        <f t="shared" si="9"/>
        <v>1</v>
      </c>
      <c r="AL34" t="s">
        <v>16</v>
      </c>
      <c r="AM34">
        <f ca="1">L13</f>
        <v>1</v>
      </c>
    </row>
    <row r="35" spans="6:70" x14ac:dyDescent="0.2">
      <c r="F35">
        <v>7</v>
      </c>
      <c r="M35">
        <v>1</v>
      </c>
      <c r="AK35">
        <f t="shared" si="9"/>
        <v>0</v>
      </c>
      <c r="AL35" t="s">
        <v>16</v>
      </c>
      <c r="AM35">
        <f ca="1">M13</f>
        <v>0</v>
      </c>
      <c r="BR35" s="3"/>
    </row>
    <row r="36" spans="6:70" x14ac:dyDescent="0.2">
      <c r="F36">
        <v>8</v>
      </c>
      <c r="N36">
        <f>N$6</f>
        <v>0</v>
      </c>
      <c r="AK36">
        <f t="shared" si="9"/>
        <v>0</v>
      </c>
      <c r="AL36" t="s">
        <v>16</v>
      </c>
      <c r="AM36">
        <f ca="1">N13</f>
        <v>0</v>
      </c>
      <c r="BR36" s="3"/>
    </row>
    <row r="37" spans="6:70" x14ac:dyDescent="0.2">
      <c r="F37">
        <v>9</v>
      </c>
      <c r="O37">
        <v>1</v>
      </c>
      <c r="AK37">
        <f t="shared" si="9"/>
        <v>0</v>
      </c>
      <c r="AL37" t="s">
        <v>16</v>
      </c>
      <c r="AM37">
        <f ca="1">O13</f>
        <v>0</v>
      </c>
      <c r="BR37" s="3"/>
    </row>
    <row r="38" spans="6:70" x14ac:dyDescent="0.2">
      <c r="F38">
        <v>10</v>
      </c>
      <c r="P38">
        <v>1</v>
      </c>
      <c r="AK38">
        <f t="shared" si="9"/>
        <v>0</v>
      </c>
      <c r="AL38" t="s">
        <v>16</v>
      </c>
      <c r="AM38">
        <f ca="1">P13</f>
        <v>0</v>
      </c>
      <c r="BR38" s="3"/>
    </row>
    <row r="39" spans="6:70" x14ac:dyDescent="0.2">
      <c r="F39">
        <v>11</v>
      </c>
      <c r="Q39">
        <v>1</v>
      </c>
      <c r="AK39">
        <f t="shared" si="9"/>
        <v>1</v>
      </c>
      <c r="AL39" t="s">
        <v>16</v>
      </c>
      <c r="AM39">
        <f ca="1">Q13</f>
        <v>1</v>
      </c>
      <c r="BR39" s="3"/>
    </row>
    <row r="40" spans="6:70" x14ac:dyDescent="0.2">
      <c r="F40">
        <v>12</v>
      </c>
      <c r="R40">
        <v>1</v>
      </c>
      <c r="AK40">
        <f t="shared" si="9"/>
        <v>0</v>
      </c>
      <c r="AL40" t="s">
        <v>16</v>
      </c>
      <c r="AM40">
        <f ca="1">R13</f>
        <v>0</v>
      </c>
      <c r="BR40" s="3"/>
    </row>
    <row r="41" spans="6:70" x14ac:dyDescent="0.2">
      <c r="F41">
        <v>13</v>
      </c>
      <c r="S41">
        <v>1</v>
      </c>
      <c r="AK41">
        <f t="shared" si="9"/>
        <v>0</v>
      </c>
      <c r="AL41" t="s">
        <v>16</v>
      </c>
      <c r="AM41">
        <f ca="1">S13</f>
        <v>0</v>
      </c>
      <c r="BR41" s="3"/>
    </row>
    <row r="42" spans="6:70" ht="15.5" x14ac:dyDescent="0.2">
      <c r="F42">
        <v>14</v>
      </c>
      <c r="T42">
        <v>1</v>
      </c>
      <c r="AK42">
        <f t="shared" si="9"/>
        <v>0</v>
      </c>
      <c r="AL42" t="s">
        <v>16</v>
      </c>
      <c r="AM42">
        <f ca="1">T13</f>
        <v>0</v>
      </c>
    </row>
    <row r="43" spans="6:70" ht="15.5" x14ac:dyDescent="0.2">
      <c r="F43">
        <v>15</v>
      </c>
      <c r="U43">
        <f>U$6</f>
        <v>0</v>
      </c>
      <c r="AK43">
        <f t="shared" si="9"/>
        <v>0</v>
      </c>
      <c r="AL43" t="s">
        <v>16</v>
      </c>
      <c r="AM43">
        <f ca="1">U13</f>
        <v>0</v>
      </c>
    </row>
    <row r="44" spans="6:70" ht="15.5" x14ac:dyDescent="0.2">
      <c r="F44">
        <v>16</v>
      </c>
      <c r="V44">
        <v>1</v>
      </c>
      <c r="AK44">
        <f t="shared" si="9"/>
        <v>0.999999999999999</v>
      </c>
      <c r="AL44" t="s">
        <v>16</v>
      </c>
      <c r="AM44">
        <f ca="1">V13</f>
        <v>1</v>
      </c>
    </row>
    <row r="45" spans="6:70" x14ac:dyDescent="0.2">
      <c r="F45">
        <v>17</v>
      </c>
      <c r="W45">
        <v>1</v>
      </c>
      <c r="AK45">
        <f t="shared" si="9"/>
        <v>0</v>
      </c>
      <c r="AL45" t="s">
        <v>16</v>
      </c>
      <c r="AM45">
        <f ca="1">W13</f>
        <v>0</v>
      </c>
      <c r="BR45" s="3"/>
    </row>
    <row r="46" spans="6:70" x14ac:dyDescent="0.2">
      <c r="F46">
        <v>18</v>
      </c>
      <c r="X46">
        <v>1</v>
      </c>
      <c r="AK46">
        <f t="shared" si="9"/>
        <v>0</v>
      </c>
      <c r="AL46" t="s">
        <v>16</v>
      </c>
      <c r="AM46">
        <f ca="1">X13</f>
        <v>0</v>
      </c>
      <c r="BR46" s="3"/>
    </row>
    <row r="47" spans="6:70" x14ac:dyDescent="0.2">
      <c r="F47">
        <v>19</v>
      </c>
      <c r="Y47">
        <v>1</v>
      </c>
      <c r="AK47">
        <f t="shared" si="9"/>
        <v>0</v>
      </c>
      <c r="AL47" t="s">
        <v>16</v>
      </c>
      <c r="AM47">
        <f ca="1">Y13</f>
        <v>0</v>
      </c>
      <c r="BR47" s="3"/>
    </row>
    <row r="48" spans="6:70" x14ac:dyDescent="0.2">
      <c r="F48">
        <v>20</v>
      </c>
      <c r="Z48">
        <v>1</v>
      </c>
      <c r="AK48">
        <f t="shared" si="9"/>
        <v>0</v>
      </c>
      <c r="AL48" t="s">
        <v>16</v>
      </c>
      <c r="AM48">
        <f ca="1">Z13</f>
        <v>0</v>
      </c>
      <c r="BR48" s="3"/>
    </row>
    <row r="49" spans="6:70" x14ac:dyDescent="0.2">
      <c r="F49">
        <v>21</v>
      </c>
      <c r="AA49">
        <v>1</v>
      </c>
      <c r="AK49">
        <f t="shared" si="9"/>
        <v>0</v>
      </c>
      <c r="AL49" t="s">
        <v>16</v>
      </c>
      <c r="AM49">
        <f ca="1">AA13</f>
        <v>0</v>
      </c>
      <c r="BR49" s="3"/>
    </row>
    <row r="50" spans="6:70" x14ac:dyDescent="0.2">
      <c r="F50">
        <v>22</v>
      </c>
      <c r="AB50">
        <f>AB$6</f>
        <v>0</v>
      </c>
      <c r="AK50">
        <f t="shared" si="9"/>
        <v>0</v>
      </c>
      <c r="AL50" t="s">
        <v>16</v>
      </c>
      <c r="AM50">
        <f ca="1">AB13</f>
        <v>0</v>
      </c>
      <c r="BR50" s="3"/>
    </row>
    <row r="51" spans="6:70" x14ac:dyDescent="0.2">
      <c r="F51">
        <v>23</v>
      </c>
      <c r="AC51">
        <v>1</v>
      </c>
      <c r="AK51">
        <f t="shared" si="9"/>
        <v>0</v>
      </c>
      <c r="AL51" t="s">
        <v>16</v>
      </c>
      <c r="AM51">
        <f ca="1">AC13</f>
        <v>0</v>
      </c>
      <c r="BR51" s="3"/>
    </row>
    <row r="52" spans="6:70" ht="15.5" x14ac:dyDescent="0.2">
      <c r="F52">
        <v>24</v>
      </c>
      <c r="AD52">
        <v>1</v>
      </c>
      <c r="AK52">
        <f t="shared" si="9"/>
        <v>0</v>
      </c>
      <c r="AL52" t="s">
        <v>16</v>
      </c>
      <c r="AM52">
        <f ca="1">AD13</f>
        <v>0</v>
      </c>
    </row>
    <row r="53" spans="6:70" x14ac:dyDescent="0.2">
      <c r="F53">
        <v>25</v>
      </c>
      <c r="AE53">
        <v>1</v>
      </c>
      <c r="AK53">
        <f t="shared" si="9"/>
        <v>0</v>
      </c>
      <c r="AL53" t="s">
        <v>16</v>
      </c>
      <c r="AM53">
        <f ca="1">AE13</f>
        <v>0</v>
      </c>
    </row>
    <row r="54" spans="6:70" x14ac:dyDescent="0.2">
      <c r="F54">
        <v>26</v>
      </c>
      <c r="AF54">
        <v>1</v>
      </c>
      <c r="AK54">
        <f t="shared" si="9"/>
        <v>0</v>
      </c>
      <c r="AL54" t="s">
        <v>16</v>
      </c>
      <c r="AM54">
        <f ca="1">AF13</f>
        <v>0</v>
      </c>
    </row>
    <row r="55" spans="6:70" x14ac:dyDescent="0.2">
      <c r="F55">
        <v>27</v>
      </c>
      <c r="AG55">
        <v>1</v>
      </c>
      <c r="AK55">
        <f t="shared" si="9"/>
        <v>0</v>
      </c>
      <c r="AL55" t="s">
        <v>16</v>
      </c>
      <c r="AM55">
        <f ca="1">AG13</f>
        <v>0</v>
      </c>
      <c r="BR55" s="3"/>
    </row>
    <row r="56" spans="6:70" x14ac:dyDescent="0.2">
      <c r="F56">
        <v>28</v>
      </c>
      <c r="AH56">
        <v>1</v>
      </c>
      <c r="AK56">
        <f t="shared" si="9"/>
        <v>0</v>
      </c>
      <c r="AL56" t="s">
        <v>16</v>
      </c>
      <c r="AM56">
        <f ca="1">AH13</f>
        <v>0</v>
      </c>
      <c r="BR56" s="3"/>
    </row>
    <row r="57" spans="6:70" x14ac:dyDescent="0.2">
      <c r="F57">
        <v>29</v>
      </c>
      <c r="AI57">
        <f>AI6</f>
        <v>0</v>
      </c>
      <c r="AK57">
        <f t="shared" si="9"/>
        <v>0</v>
      </c>
      <c r="AL57" t="s">
        <v>16</v>
      </c>
      <c r="AM57">
        <f ca="1">AI13</f>
        <v>0</v>
      </c>
      <c r="BR57" s="3"/>
    </row>
    <row r="58" spans="6:70" x14ac:dyDescent="0.2">
      <c r="F58">
        <v>30</v>
      </c>
      <c r="AJ58">
        <v>1</v>
      </c>
      <c r="AK58">
        <f t="shared" si="9"/>
        <v>0</v>
      </c>
      <c r="AL58" t="s">
        <v>16</v>
      </c>
      <c r="AM58">
        <f ca="1">AJ13</f>
        <v>0</v>
      </c>
      <c r="BR58" s="3"/>
    </row>
    <row r="59" spans="6:70" x14ac:dyDescent="0.2">
      <c r="BR59" s="3"/>
    </row>
    <row r="60" spans="6:70" x14ac:dyDescent="0.2">
      <c r="BR60" s="3"/>
    </row>
    <row r="61" spans="6:70" x14ac:dyDescent="0.2">
      <c r="BR61" s="3"/>
    </row>
    <row r="80" spans="2:66" x14ac:dyDescent="0.2"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</row>
    <row r="136" spans="2:66" x14ac:dyDescent="0.2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</row>
    <row r="164" spans="2:66" x14ac:dyDescent="0.2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</row>
    <row r="192" spans="2:66" x14ac:dyDescent="0.2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</row>
    <row r="220" spans="2:66" x14ac:dyDescent="0.2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</row>
  </sheetData>
  <conditionalFormatting sqref="BZ7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24:CT30 BS55:CT61 G19:AJ19 G28:AJ28">
    <cfRule type="cellIs" dxfId="3" priority="1" operator="lessThan">
      <formula>0</formula>
    </cfRule>
  </conditionalFormatting>
  <conditionalFormatting sqref="G6:AJ6">
    <cfRule type="colorScale" priority="3">
      <colorScale>
        <cfvo type="min"/>
        <cfvo type="max"/>
        <color theme="0"/>
        <color theme="7"/>
      </colorScale>
    </cfRule>
    <cfRule type="colorScale" priority="4">
      <colorScale>
        <cfvo type="min"/>
        <cfvo type="max"/>
        <color rgb="FF63BE7B"/>
        <color rgb="FFFFEF9C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5FCC3-E56F-49DD-8680-F5140F2A617D}">
  <sheetPr codeName="Sheet7"/>
  <dimension ref="A1:BR220"/>
  <sheetViews>
    <sheetView zoomScale="80" zoomScaleNormal="80" workbookViewId="0">
      <selection activeCell="G7" sqref="G7:AJ7"/>
    </sheetView>
  </sheetViews>
  <sheetFormatPr baseColWidth="10" defaultColWidth="11" defaultRowHeight="16" x14ac:dyDescent="0.2"/>
  <cols>
    <col min="1" max="1" width="12" customWidth="1"/>
    <col min="3" max="3" width="12.6640625" customWidth="1"/>
    <col min="4" max="4" width="4.6640625" customWidth="1"/>
    <col min="5" max="5" width="8.6640625" bestFit="1" customWidth="1"/>
    <col min="6" max="6" width="9.6640625" bestFit="1" customWidth="1"/>
    <col min="7" max="36" width="4.6640625" customWidth="1"/>
    <col min="37" max="37" width="13.33203125" customWidth="1"/>
    <col min="39" max="39" width="9.6640625" customWidth="1"/>
    <col min="40" max="40" width="5.1640625" customWidth="1"/>
    <col min="41" max="41" width="4" customWidth="1"/>
    <col min="42" max="42" width="3.1640625" customWidth="1"/>
    <col min="43" max="47" width="2.6640625" customWidth="1"/>
    <col min="48" max="69" width="3.1640625" customWidth="1"/>
    <col min="70" max="70" width="15.5" customWidth="1"/>
    <col min="71" max="71" width="3.1640625" customWidth="1"/>
    <col min="72" max="72" width="3.6640625" customWidth="1"/>
    <col min="73" max="73" width="3.1640625" customWidth="1"/>
    <col min="74" max="98" width="3.6640625" customWidth="1"/>
    <col min="99" max="100" width="2.83203125" bestFit="1" customWidth="1"/>
    <col min="102" max="102" width="10.6640625" customWidth="1"/>
    <col min="103" max="103" width="14.6640625" customWidth="1"/>
  </cols>
  <sheetData>
    <row r="1" spans="1:70" x14ac:dyDescent="0.2">
      <c r="G1" s="5">
        <f t="shared" ref="G1:AJ1" si="0">G2/$AM$2</f>
        <v>0.2</v>
      </c>
      <c r="H1" s="5">
        <f t="shared" si="0"/>
        <v>0.4</v>
      </c>
      <c r="I1" s="5">
        <f t="shared" si="0"/>
        <v>0.6</v>
      </c>
      <c r="J1" s="5">
        <f t="shared" si="0"/>
        <v>0.8</v>
      </c>
      <c r="K1" s="5">
        <f t="shared" si="0"/>
        <v>1</v>
      </c>
      <c r="L1" s="5">
        <f t="shared" si="0"/>
        <v>1.2</v>
      </c>
      <c r="M1" s="5">
        <f t="shared" si="0"/>
        <v>1.4</v>
      </c>
      <c r="N1" s="5">
        <f t="shared" si="0"/>
        <v>1.6</v>
      </c>
      <c r="O1" s="5">
        <f t="shared" si="0"/>
        <v>1.8</v>
      </c>
      <c r="P1" s="5">
        <f t="shared" si="0"/>
        <v>2</v>
      </c>
      <c r="Q1" s="5">
        <f t="shared" si="0"/>
        <v>2.2000000000000002</v>
      </c>
      <c r="R1" s="5">
        <f t="shared" si="0"/>
        <v>2.4</v>
      </c>
      <c r="S1" s="5">
        <f t="shared" si="0"/>
        <v>2.6</v>
      </c>
      <c r="T1" s="5">
        <f t="shared" si="0"/>
        <v>2.8</v>
      </c>
      <c r="U1" s="5">
        <f t="shared" si="0"/>
        <v>3</v>
      </c>
      <c r="V1" s="5">
        <f t="shared" si="0"/>
        <v>3.2</v>
      </c>
      <c r="W1" s="5">
        <f t="shared" si="0"/>
        <v>3.4</v>
      </c>
      <c r="X1" s="5">
        <f t="shared" si="0"/>
        <v>3.6</v>
      </c>
      <c r="Y1" s="5">
        <f t="shared" si="0"/>
        <v>3.8</v>
      </c>
      <c r="Z1" s="5">
        <f t="shared" si="0"/>
        <v>4</v>
      </c>
      <c r="AA1" s="5">
        <f t="shared" si="0"/>
        <v>4.2</v>
      </c>
      <c r="AB1" s="5">
        <f t="shared" si="0"/>
        <v>4.4000000000000004</v>
      </c>
      <c r="AC1" s="5">
        <f t="shared" si="0"/>
        <v>4.5999999999999996</v>
      </c>
      <c r="AD1" s="5">
        <f t="shared" si="0"/>
        <v>4.8</v>
      </c>
      <c r="AE1" s="5">
        <f t="shared" si="0"/>
        <v>5</v>
      </c>
      <c r="AF1" s="5">
        <f t="shared" si="0"/>
        <v>5.2</v>
      </c>
      <c r="AG1" s="5">
        <f t="shared" si="0"/>
        <v>5.4</v>
      </c>
      <c r="AH1" s="5">
        <f t="shared" si="0"/>
        <v>5.6</v>
      </c>
      <c r="AI1" s="5">
        <f t="shared" si="0"/>
        <v>5.8</v>
      </c>
      <c r="AJ1" s="5">
        <f t="shared" si="0"/>
        <v>6</v>
      </c>
    </row>
    <row r="2" spans="1:70" ht="17" thickBot="1" x14ac:dyDescent="0.25">
      <c r="A2" s="20" t="s">
        <v>27</v>
      </c>
      <c r="E2" s="11" t="s">
        <v>0</v>
      </c>
      <c r="F2" s="11" t="s">
        <v>1</v>
      </c>
      <c r="G2" s="10">
        <v>1</v>
      </c>
      <c r="H2" s="10">
        <v>2</v>
      </c>
      <c r="I2" s="10">
        <v>3</v>
      </c>
      <c r="J2" s="10">
        <v>4</v>
      </c>
      <c r="K2" s="10">
        <v>5</v>
      </c>
      <c r="L2" s="10">
        <v>6</v>
      </c>
      <c r="M2" s="10">
        <v>7</v>
      </c>
      <c r="N2" s="10">
        <v>8</v>
      </c>
      <c r="O2" s="10">
        <v>9</v>
      </c>
      <c r="P2" s="10">
        <v>10</v>
      </c>
      <c r="Q2" s="10">
        <v>11</v>
      </c>
      <c r="R2" s="10">
        <v>12</v>
      </c>
      <c r="S2" s="10">
        <v>13</v>
      </c>
      <c r="T2" s="10">
        <v>14</v>
      </c>
      <c r="U2" s="10">
        <v>15</v>
      </c>
      <c r="V2" s="10">
        <v>16</v>
      </c>
      <c r="W2" s="10">
        <v>17</v>
      </c>
      <c r="X2" s="10">
        <v>18</v>
      </c>
      <c r="Y2" s="10">
        <v>19</v>
      </c>
      <c r="Z2" s="10">
        <v>20</v>
      </c>
      <c r="AA2" s="10">
        <v>21</v>
      </c>
      <c r="AB2" s="10">
        <v>22</v>
      </c>
      <c r="AC2" s="10">
        <v>23</v>
      </c>
      <c r="AD2" s="10">
        <v>24</v>
      </c>
      <c r="AE2" s="10">
        <v>25</v>
      </c>
      <c r="AF2" s="10">
        <v>26</v>
      </c>
      <c r="AG2" s="10">
        <v>27</v>
      </c>
      <c r="AH2" s="10">
        <v>28</v>
      </c>
      <c r="AI2" s="10">
        <v>29</v>
      </c>
      <c r="AJ2" s="10">
        <v>30</v>
      </c>
      <c r="AL2" t="s">
        <v>2</v>
      </c>
      <c r="AM2" s="7">
        <f>'Inputs and Outputs'!B2</f>
        <v>5</v>
      </c>
      <c r="AP2" s="2"/>
    </row>
    <row r="3" spans="1:70" x14ac:dyDescent="0.2">
      <c r="A3" t="s">
        <v>28</v>
      </c>
      <c r="B3" s="22"/>
      <c r="E3" s="21">
        <v>3</v>
      </c>
      <c r="F3" s="3" t="s">
        <v>35</v>
      </c>
      <c r="G3" s="9">
        <f>'Inputs and Outputs'!E9</f>
        <v>0</v>
      </c>
      <c r="H3" s="9">
        <f>'Inputs and Outputs'!F9</f>
        <v>1</v>
      </c>
      <c r="I3" s="9">
        <f>'Inputs and Outputs'!G9</f>
        <v>2</v>
      </c>
      <c r="J3" s="9">
        <f>'Inputs and Outputs'!H9</f>
        <v>0</v>
      </c>
      <c r="K3" s="9">
        <f>'Inputs and Outputs'!I9</f>
        <v>0</v>
      </c>
      <c r="L3" s="9">
        <f>'Inputs and Outputs'!J9</f>
        <v>0</v>
      </c>
      <c r="M3" s="9">
        <f>'Inputs and Outputs'!K9</f>
        <v>0</v>
      </c>
      <c r="N3" s="9">
        <f>'Inputs and Outputs'!L9</f>
        <v>2</v>
      </c>
      <c r="O3" s="9">
        <f>'Inputs and Outputs'!M9</f>
        <v>0</v>
      </c>
      <c r="P3" s="9">
        <f>'Inputs and Outputs'!N9</f>
        <v>0</v>
      </c>
      <c r="Q3" s="9">
        <f>'Inputs and Outputs'!O9</f>
        <v>0</v>
      </c>
      <c r="R3" s="9">
        <f>'Inputs and Outputs'!P9</f>
        <v>0</v>
      </c>
      <c r="S3" s="9">
        <f>'Inputs and Outputs'!Q9</f>
        <v>0</v>
      </c>
      <c r="T3" s="9">
        <f>'Inputs and Outputs'!R9</f>
        <v>2</v>
      </c>
      <c r="U3" s="9">
        <f>'Inputs and Outputs'!S9</f>
        <v>0</v>
      </c>
      <c r="V3" s="9">
        <f>'Inputs and Outputs'!T9</f>
        <v>0</v>
      </c>
      <c r="W3" s="9">
        <f>'Inputs and Outputs'!U9</f>
        <v>0</v>
      </c>
      <c r="X3" s="9">
        <f>'Inputs and Outputs'!V9</f>
        <v>0</v>
      </c>
      <c r="Y3" s="9">
        <f>'Inputs and Outputs'!W9</f>
        <v>0</v>
      </c>
      <c r="Z3" s="9">
        <f>'Inputs and Outputs'!X9</f>
        <v>2</v>
      </c>
      <c r="AA3" s="9">
        <f>'Inputs and Outputs'!Y9</f>
        <v>0</v>
      </c>
      <c r="AB3" s="9">
        <f>'Inputs and Outputs'!Z9</f>
        <v>0</v>
      </c>
      <c r="AC3" s="9">
        <f>'Inputs and Outputs'!AA9</f>
        <v>0</v>
      </c>
      <c r="AD3" s="9">
        <f>'Inputs and Outputs'!AB9</f>
        <v>0</v>
      </c>
      <c r="AE3" s="9">
        <f>'Inputs and Outputs'!AC9</f>
        <v>2</v>
      </c>
      <c r="AF3" s="9">
        <f>'Inputs and Outputs'!AD9</f>
        <v>0</v>
      </c>
      <c r="AG3" s="9">
        <f>'Inputs and Outputs'!AE9</f>
        <v>0</v>
      </c>
      <c r="AH3" s="9">
        <f>'Inputs and Outputs'!AF9</f>
        <v>0</v>
      </c>
      <c r="AI3" s="9">
        <f>'Inputs and Outputs'!AG9</f>
        <v>0</v>
      </c>
      <c r="AJ3" s="9">
        <f>'Inputs and Outputs'!AH9</f>
        <v>0</v>
      </c>
      <c r="BR3" s="3"/>
    </row>
    <row r="4" spans="1:70" x14ac:dyDescent="0.2">
      <c r="A4" t="s">
        <v>29</v>
      </c>
      <c r="B4" s="4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</row>
    <row r="5" spans="1:70" x14ac:dyDescent="0.2">
      <c r="A5" t="s">
        <v>30</v>
      </c>
      <c r="B5" s="23"/>
      <c r="G5" s="10">
        <v>1</v>
      </c>
      <c r="H5" s="10">
        <v>2</v>
      </c>
      <c r="I5" s="10">
        <v>3</v>
      </c>
      <c r="J5" s="10">
        <v>4</v>
      </c>
      <c r="K5" s="10">
        <v>5</v>
      </c>
      <c r="L5" s="10">
        <v>6</v>
      </c>
      <c r="M5" s="10">
        <v>7</v>
      </c>
      <c r="N5" s="10">
        <v>8</v>
      </c>
      <c r="O5" s="10">
        <v>9</v>
      </c>
      <c r="P5" s="10">
        <v>10</v>
      </c>
      <c r="Q5" s="10">
        <v>11</v>
      </c>
      <c r="R5" s="10">
        <v>12</v>
      </c>
      <c r="S5" s="10">
        <v>13</v>
      </c>
      <c r="T5" s="10">
        <v>14</v>
      </c>
      <c r="U5" s="10">
        <v>15</v>
      </c>
      <c r="V5" s="10">
        <v>16</v>
      </c>
      <c r="W5" s="10">
        <v>17</v>
      </c>
      <c r="X5" s="10">
        <v>18</v>
      </c>
      <c r="Y5" s="10">
        <v>19</v>
      </c>
      <c r="Z5" s="10">
        <v>20</v>
      </c>
      <c r="AA5" s="10">
        <v>21</v>
      </c>
      <c r="AB5" s="10">
        <v>22</v>
      </c>
      <c r="AC5" s="10">
        <v>23</v>
      </c>
      <c r="AD5" s="10">
        <v>24</v>
      </c>
      <c r="AE5" s="10">
        <v>25</v>
      </c>
      <c r="AF5" s="10">
        <v>26</v>
      </c>
      <c r="AG5" s="10">
        <v>27</v>
      </c>
      <c r="AH5" s="10">
        <v>28</v>
      </c>
      <c r="AI5" s="10">
        <v>29</v>
      </c>
      <c r="AJ5" s="10">
        <v>30</v>
      </c>
      <c r="AK5" t="s">
        <v>21</v>
      </c>
    </row>
    <row r="6" spans="1:70" x14ac:dyDescent="0.2">
      <c r="F6" s="12" t="s">
        <v>14</v>
      </c>
      <c r="G6" s="13">
        <f>IF(AM2&gt;=1,1,0)</f>
        <v>1</v>
      </c>
      <c r="H6" s="13">
        <f t="shared" ref="H6:AJ6" si="1">IF(OR(G1=1,G1=2,G1=3,G1=4,G1=5,G1=6,G1=7,G1=8,G1=9,G1=10,G1=11,G1=12,G1=13,G1=14),1,0)</f>
        <v>0</v>
      </c>
      <c r="I6" s="13">
        <f t="shared" si="1"/>
        <v>0</v>
      </c>
      <c r="J6" s="13">
        <f t="shared" si="1"/>
        <v>0</v>
      </c>
      <c r="K6" s="13">
        <f t="shared" si="1"/>
        <v>0</v>
      </c>
      <c r="L6" s="13">
        <f t="shared" si="1"/>
        <v>1</v>
      </c>
      <c r="M6" s="13">
        <f t="shared" si="1"/>
        <v>0</v>
      </c>
      <c r="N6" s="13">
        <f t="shared" si="1"/>
        <v>0</v>
      </c>
      <c r="O6" s="13">
        <f t="shared" si="1"/>
        <v>0</v>
      </c>
      <c r="P6" s="13">
        <f t="shared" si="1"/>
        <v>0</v>
      </c>
      <c r="Q6" s="13">
        <f t="shared" si="1"/>
        <v>1</v>
      </c>
      <c r="R6" s="13">
        <f t="shared" si="1"/>
        <v>0</v>
      </c>
      <c r="S6" s="13">
        <f t="shared" si="1"/>
        <v>0</v>
      </c>
      <c r="T6" s="13">
        <f t="shared" si="1"/>
        <v>0</v>
      </c>
      <c r="U6" s="13">
        <f t="shared" si="1"/>
        <v>0</v>
      </c>
      <c r="V6" s="13">
        <f t="shared" si="1"/>
        <v>1</v>
      </c>
      <c r="W6" s="13">
        <f t="shared" si="1"/>
        <v>0</v>
      </c>
      <c r="X6" s="13">
        <f t="shared" si="1"/>
        <v>0</v>
      </c>
      <c r="Y6" s="13">
        <f t="shared" si="1"/>
        <v>0</v>
      </c>
      <c r="Z6" s="13">
        <f t="shared" si="1"/>
        <v>0</v>
      </c>
      <c r="AA6" s="13">
        <f t="shared" si="1"/>
        <v>1</v>
      </c>
      <c r="AB6" s="13">
        <f t="shared" si="1"/>
        <v>0</v>
      </c>
      <c r="AC6" s="13">
        <f t="shared" si="1"/>
        <v>0</v>
      </c>
      <c r="AD6" s="13">
        <f t="shared" si="1"/>
        <v>0</v>
      </c>
      <c r="AE6" s="13">
        <f t="shared" si="1"/>
        <v>0</v>
      </c>
      <c r="AF6" s="13">
        <f t="shared" si="1"/>
        <v>1</v>
      </c>
      <c r="AG6" s="13">
        <f t="shared" si="1"/>
        <v>0</v>
      </c>
      <c r="AH6" s="13">
        <f t="shared" si="1"/>
        <v>0</v>
      </c>
      <c r="AI6" s="13">
        <f t="shared" si="1"/>
        <v>0</v>
      </c>
      <c r="AJ6" s="13">
        <f t="shared" si="1"/>
        <v>0</v>
      </c>
      <c r="AL6" s="1">
        <f>SUM(G28:AH28)</f>
        <v>3.7309333469019275</v>
      </c>
      <c r="AN6">
        <v>0</v>
      </c>
      <c r="AO6" s="18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</row>
    <row r="7" spans="1:70" x14ac:dyDescent="0.2">
      <c r="E7" t="s">
        <v>15</v>
      </c>
      <c r="F7" s="3" t="s">
        <v>35</v>
      </c>
      <c r="G7" s="4">
        <v>3.0000009999999993</v>
      </c>
      <c r="H7" s="4">
        <v>0</v>
      </c>
      <c r="I7" s="4">
        <v>0</v>
      </c>
      <c r="J7" s="4">
        <v>0</v>
      </c>
      <c r="K7" s="4">
        <v>0</v>
      </c>
      <c r="L7" s="4">
        <v>2</v>
      </c>
      <c r="M7" s="4">
        <v>0</v>
      </c>
      <c r="N7" s="4">
        <v>1.5079545421487606</v>
      </c>
      <c r="O7" s="4">
        <v>0</v>
      </c>
      <c r="P7" s="4">
        <v>0</v>
      </c>
      <c r="Q7" s="4">
        <v>2</v>
      </c>
      <c r="R7" s="4">
        <v>0</v>
      </c>
      <c r="S7" s="4">
        <v>0</v>
      </c>
      <c r="T7" s="4">
        <v>0</v>
      </c>
      <c r="U7" s="4">
        <v>2.2229778047531679</v>
      </c>
      <c r="V7" s="4">
        <v>2</v>
      </c>
      <c r="W7" s="4">
        <v>0</v>
      </c>
      <c r="X7" s="4">
        <v>0</v>
      </c>
      <c r="Y7" s="4">
        <v>0</v>
      </c>
      <c r="Z7" s="4">
        <v>0</v>
      </c>
      <c r="AA7" s="4">
        <v>2</v>
      </c>
      <c r="AB7" s="4">
        <v>0.75579545457851238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2.9007283437046825</v>
      </c>
      <c r="AJ7" s="4">
        <v>0</v>
      </c>
      <c r="AK7">
        <f>SUMPRODUCT($G$6:$AJ$6,G7:AJ7)</f>
        <v>11.000000999999999</v>
      </c>
      <c r="AL7" s="6" t="s">
        <v>16</v>
      </c>
      <c r="AM7">
        <f>SUM(G3:AJ3)</f>
        <v>11</v>
      </c>
    </row>
    <row r="8" spans="1:70" x14ac:dyDescent="0.2">
      <c r="A8" s="11" t="s">
        <v>1</v>
      </c>
      <c r="B8" t="s">
        <v>4</v>
      </c>
      <c r="C8" t="s">
        <v>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</row>
    <row r="9" spans="1:70" x14ac:dyDescent="0.2">
      <c r="A9" s="16" t="s">
        <v>6</v>
      </c>
      <c r="B9" s="17">
        <v>1.25</v>
      </c>
      <c r="C9" s="18">
        <v>1</v>
      </c>
    </row>
    <row r="10" spans="1:70" x14ac:dyDescent="0.2">
      <c r="A10" s="16" t="s">
        <v>7</v>
      </c>
      <c r="B10" s="17">
        <v>5.99</v>
      </c>
      <c r="C10" s="18">
        <v>2</v>
      </c>
      <c r="F10" s="2" t="s">
        <v>20</v>
      </c>
      <c r="G10" s="2">
        <v>1</v>
      </c>
      <c r="H10" s="2">
        <v>2</v>
      </c>
      <c r="I10" s="2">
        <v>3</v>
      </c>
      <c r="J10" s="2">
        <v>4</v>
      </c>
      <c r="K10" s="2">
        <v>5</v>
      </c>
      <c r="L10" s="2">
        <v>6</v>
      </c>
      <c r="M10" s="2">
        <v>7</v>
      </c>
      <c r="N10" s="2">
        <v>8</v>
      </c>
      <c r="O10" s="2">
        <v>9</v>
      </c>
      <c r="P10" s="2">
        <v>10</v>
      </c>
      <c r="Q10" s="2">
        <v>11</v>
      </c>
      <c r="R10" s="2">
        <v>12</v>
      </c>
      <c r="S10" s="2">
        <v>13</v>
      </c>
      <c r="T10" s="2">
        <v>14</v>
      </c>
      <c r="U10" s="2">
        <v>15</v>
      </c>
      <c r="V10" s="2">
        <v>16</v>
      </c>
      <c r="W10" s="2">
        <v>17</v>
      </c>
      <c r="X10" s="2">
        <v>18</v>
      </c>
      <c r="Y10" s="2">
        <v>19</v>
      </c>
      <c r="Z10" s="2">
        <v>20</v>
      </c>
      <c r="AA10" s="2">
        <v>21</v>
      </c>
      <c r="AB10" s="2">
        <v>22</v>
      </c>
      <c r="AC10" s="2">
        <v>23</v>
      </c>
      <c r="AD10" s="2">
        <v>24</v>
      </c>
      <c r="AE10" s="2">
        <v>25</v>
      </c>
      <c r="AF10" s="2">
        <v>26</v>
      </c>
      <c r="AG10" s="2">
        <v>27</v>
      </c>
      <c r="AH10" s="2">
        <v>28</v>
      </c>
      <c r="AI10" s="2">
        <v>29</v>
      </c>
      <c r="AJ10" s="2">
        <v>30</v>
      </c>
    </row>
    <row r="11" spans="1:70" x14ac:dyDescent="0.2">
      <c r="A11" s="16" t="s">
        <v>8</v>
      </c>
      <c r="B11" s="17">
        <v>0.27</v>
      </c>
      <c r="C11" s="18">
        <v>1</v>
      </c>
      <c r="F11" s="3" t="s">
        <v>35</v>
      </c>
      <c r="G11">
        <v>0</v>
      </c>
      <c r="H11">
        <f t="shared" ref="H11:AJ11" si="2">IF(H15=0,0,IF(H19&gt;G19,G19-H3,IF(G11&gt;0,G11-1,0)))</f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0</v>
      </c>
      <c r="M11">
        <f t="shared" si="2"/>
        <v>0</v>
      </c>
      <c r="N11">
        <f t="shared" si="2"/>
        <v>0</v>
      </c>
      <c r="O11">
        <f t="shared" si="2"/>
        <v>0</v>
      </c>
      <c r="P11">
        <f t="shared" si="2"/>
        <v>0</v>
      </c>
      <c r="Q11">
        <f t="shared" si="2"/>
        <v>0</v>
      </c>
      <c r="R11">
        <f t="shared" si="2"/>
        <v>0</v>
      </c>
      <c r="S11">
        <f t="shared" si="2"/>
        <v>0</v>
      </c>
      <c r="T11">
        <f t="shared" si="2"/>
        <v>0</v>
      </c>
      <c r="U11">
        <f t="shared" si="2"/>
        <v>-2</v>
      </c>
      <c r="V11">
        <f t="shared" si="2"/>
        <v>0.22297780475316786</v>
      </c>
      <c r="W11">
        <f t="shared" si="2"/>
        <v>-0.77702219524683214</v>
      </c>
      <c r="X11">
        <f t="shared" si="2"/>
        <v>0</v>
      </c>
      <c r="Y11">
        <f t="shared" si="2"/>
        <v>0</v>
      </c>
      <c r="Z11">
        <f t="shared" si="2"/>
        <v>0</v>
      </c>
      <c r="AA11">
        <f t="shared" si="2"/>
        <v>-2</v>
      </c>
      <c r="AB11">
        <f t="shared" si="2"/>
        <v>0</v>
      </c>
      <c r="AC11">
        <f t="shared" si="2"/>
        <v>0</v>
      </c>
      <c r="AD11">
        <f t="shared" si="2"/>
        <v>0</v>
      </c>
      <c r="AE11">
        <f t="shared" si="2"/>
        <v>0</v>
      </c>
      <c r="AF11">
        <f t="shared" si="2"/>
        <v>0</v>
      </c>
      <c r="AG11">
        <f t="shared" si="2"/>
        <v>0</v>
      </c>
      <c r="AH11">
        <f t="shared" si="2"/>
        <v>0</v>
      </c>
      <c r="AI11">
        <f t="shared" si="2"/>
        <v>-2</v>
      </c>
      <c r="AJ11">
        <f t="shared" si="2"/>
        <v>0</v>
      </c>
    </row>
    <row r="12" spans="1:70" x14ac:dyDescent="0.2">
      <c r="A12" s="16" t="s">
        <v>9</v>
      </c>
      <c r="B12" s="17">
        <v>3.49</v>
      </c>
      <c r="C12" s="18">
        <v>6</v>
      </c>
      <c r="G12" s="14">
        <v>1</v>
      </c>
      <c r="H12" s="14">
        <v>2</v>
      </c>
      <c r="I12" s="14">
        <v>3</v>
      </c>
      <c r="J12" s="14">
        <v>4</v>
      </c>
      <c r="K12" s="14">
        <v>5</v>
      </c>
      <c r="L12" s="14">
        <v>6</v>
      </c>
      <c r="M12" s="14">
        <v>7</v>
      </c>
      <c r="N12" s="14">
        <v>8</v>
      </c>
      <c r="O12" s="14">
        <v>9</v>
      </c>
      <c r="P12" s="14">
        <v>10</v>
      </c>
      <c r="Q12" s="14">
        <v>11</v>
      </c>
      <c r="R12" s="14">
        <v>12</v>
      </c>
      <c r="S12" s="14">
        <v>13</v>
      </c>
      <c r="T12" s="14">
        <v>14</v>
      </c>
      <c r="U12" s="14">
        <v>15</v>
      </c>
      <c r="V12" s="14">
        <v>16</v>
      </c>
      <c r="W12" s="14">
        <v>17</v>
      </c>
      <c r="X12" s="14">
        <v>18</v>
      </c>
      <c r="Y12" s="14">
        <v>19</v>
      </c>
      <c r="Z12" s="14">
        <v>20</v>
      </c>
      <c r="AA12" s="14">
        <v>21</v>
      </c>
      <c r="AB12" s="14">
        <v>22</v>
      </c>
      <c r="AC12" s="14">
        <v>23</v>
      </c>
      <c r="AD12" s="14">
        <v>24</v>
      </c>
      <c r="AE12" s="14">
        <v>25</v>
      </c>
      <c r="AF12" s="14">
        <v>26</v>
      </c>
      <c r="AG12" s="14">
        <v>27</v>
      </c>
      <c r="AH12" s="14">
        <v>28</v>
      </c>
      <c r="AI12" s="14">
        <v>29</v>
      </c>
      <c r="AJ12" s="14">
        <v>30</v>
      </c>
    </row>
    <row r="13" spans="1:70" x14ac:dyDescent="0.2">
      <c r="A13" s="16" t="s">
        <v>10</v>
      </c>
      <c r="B13" s="17">
        <v>4.99</v>
      </c>
      <c r="C13" s="18">
        <v>5</v>
      </c>
      <c r="H13">
        <f t="shared" ref="H13:AJ13" ca="1" si="3">IF(H6=1,SUM(OFFSET(H3,0,0,1,$AM$2)),0)</f>
        <v>0</v>
      </c>
      <c r="I13">
        <f t="shared" ca="1" si="3"/>
        <v>0</v>
      </c>
      <c r="J13">
        <f t="shared" ca="1" si="3"/>
        <v>0</v>
      </c>
      <c r="K13">
        <f t="shared" ca="1" si="3"/>
        <v>0</v>
      </c>
      <c r="L13">
        <f t="shared" ca="1" si="3"/>
        <v>2</v>
      </c>
      <c r="M13">
        <f t="shared" ca="1" si="3"/>
        <v>0</v>
      </c>
      <c r="N13">
        <f t="shared" ca="1" si="3"/>
        <v>0</v>
      </c>
      <c r="O13">
        <f t="shared" ca="1" si="3"/>
        <v>0</v>
      </c>
      <c r="P13">
        <f t="shared" ca="1" si="3"/>
        <v>0</v>
      </c>
      <c r="Q13">
        <f t="shared" ca="1" si="3"/>
        <v>2</v>
      </c>
      <c r="R13">
        <f t="shared" ca="1" si="3"/>
        <v>0</v>
      </c>
      <c r="S13">
        <f t="shared" ca="1" si="3"/>
        <v>0</v>
      </c>
      <c r="T13">
        <f t="shared" ca="1" si="3"/>
        <v>0</v>
      </c>
      <c r="U13">
        <f t="shared" ca="1" si="3"/>
        <v>0</v>
      </c>
      <c r="V13">
        <f t="shared" ca="1" si="3"/>
        <v>2</v>
      </c>
      <c r="W13">
        <f t="shared" ca="1" si="3"/>
        <v>0</v>
      </c>
      <c r="X13">
        <f t="shared" ca="1" si="3"/>
        <v>0</v>
      </c>
      <c r="Y13">
        <f t="shared" ca="1" si="3"/>
        <v>0</v>
      </c>
      <c r="Z13">
        <f t="shared" ca="1" si="3"/>
        <v>0</v>
      </c>
      <c r="AA13">
        <f t="shared" ca="1" si="3"/>
        <v>2</v>
      </c>
      <c r="AB13">
        <f t="shared" ca="1" si="3"/>
        <v>0</v>
      </c>
      <c r="AC13">
        <f t="shared" ca="1" si="3"/>
        <v>0</v>
      </c>
      <c r="AD13">
        <f t="shared" ca="1" si="3"/>
        <v>0</v>
      </c>
      <c r="AE13">
        <f t="shared" ca="1" si="3"/>
        <v>0</v>
      </c>
      <c r="AF13">
        <f t="shared" ca="1" si="3"/>
        <v>0</v>
      </c>
      <c r="AG13">
        <f t="shared" ca="1" si="3"/>
        <v>0</v>
      </c>
      <c r="AH13">
        <f t="shared" ca="1" si="3"/>
        <v>0</v>
      </c>
      <c r="AI13">
        <f t="shared" ca="1" si="3"/>
        <v>0</v>
      </c>
      <c r="AJ13">
        <f t="shared" ca="1" si="3"/>
        <v>0</v>
      </c>
    </row>
    <row r="14" spans="1:70" x14ac:dyDescent="0.2">
      <c r="A14" s="16" t="s">
        <v>11</v>
      </c>
      <c r="B14" s="17">
        <v>4.99</v>
      </c>
      <c r="C14" s="18">
        <v>6</v>
      </c>
      <c r="F14" s="19" t="s">
        <v>22</v>
      </c>
      <c r="G14" s="2">
        <v>1</v>
      </c>
      <c r="H14" s="2">
        <v>2</v>
      </c>
      <c r="I14" s="2">
        <v>3</v>
      </c>
      <c r="J14" s="2">
        <v>4</v>
      </c>
      <c r="K14" s="2">
        <v>5</v>
      </c>
      <c r="L14" s="2">
        <v>6</v>
      </c>
      <c r="M14" s="2">
        <v>7</v>
      </c>
      <c r="N14" s="2">
        <v>8</v>
      </c>
      <c r="O14" s="2">
        <v>9</v>
      </c>
      <c r="P14" s="2">
        <v>10</v>
      </c>
      <c r="Q14" s="2">
        <v>11</v>
      </c>
      <c r="R14" s="2">
        <v>12</v>
      </c>
      <c r="S14" s="2">
        <v>13</v>
      </c>
      <c r="T14" s="2">
        <v>14</v>
      </c>
      <c r="U14" s="2">
        <v>15</v>
      </c>
      <c r="V14" s="2">
        <v>16</v>
      </c>
      <c r="W14" s="2">
        <v>17</v>
      </c>
      <c r="X14" s="2">
        <v>18</v>
      </c>
      <c r="Y14" s="2">
        <v>19</v>
      </c>
      <c r="Z14" s="2">
        <v>20</v>
      </c>
      <c r="AA14" s="2">
        <v>21</v>
      </c>
      <c r="AB14" s="2">
        <v>22</v>
      </c>
      <c r="AC14" s="2">
        <v>23</v>
      </c>
      <c r="AD14" s="2">
        <v>24</v>
      </c>
      <c r="AE14" s="2">
        <v>25</v>
      </c>
      <c r="AF14" s="2">
        <v>26</v>
      </c>
      <c r="AG14" s="2">
        <v>27</v>
      </c>
      <c r="AH14" s="2">
        <v>28</v>
      </c>
      <c r="AI14" s="2">
        <v>29</v>
      </c>
      <c r="AJ14" s="2">
        <v>30</v>
      </c>
    </row>
    <row r="15" spans="1:70" x14ac:dyDescent="0.2">
      <c r="A15" s="16" t="s">
        <v>12</v>
      </c>
      <c r="B15" s="17">
        <v>0.9</v>
      </c>
      <c r="C15" s="18">
        <v>1</v>
      </c>
      <c r="F15" s="3" t="s">
        <v>35</v>
      </c>
      <c r="G15">
        <v>0</v>
      </c>
      <c r="H15">
        <f t="shared" ref="H15:AJ15" si="4">IF(AND(H7&gt;0,G19-H3&gt;0),G22-1,G15-1)</f>
        <v>-1</v>
      </c>
      <c r="I15">
        <f t="shared" si="4"/>
        <v>-2</v>
      </c>
      <c r="J15">
        <f t="shared" si="4"/>
        <v>-3</v>
      </c>
      <c r="K15">
        <f t="shared" si="4"/>
        <v>-4</v>
      </c>
      <c r="L15">
        <f t="shared" si="4"/>
        <v>-5</v>
      </c>
      <c r="M15">
        <f t="shared" si="4"/>
        <v>-6</v>
      </c>
      <c r="N15">
        <f t="shared" si="4"/>
        <v>-7</v>
      </c>
      <c r="O15">
        <f t="shared" si="4"/>
        <v>-8</v>
      </c>
      <c r="P15">
        <f t="shared" si="4"/>
        <v>-9</v>
      </c>
      <c r="Q15">
        <f t="shared" si="4"/>
        <v>0</v>
      </c>
      <c r="R15">
        <f t="shared" si="4"/>
        <v>-1</v>
      </c>
      <c r="S15">
        <f t="shared" si="4"/>
        <v>-2</v>
      </c>
      <c r="T15">
        <f t="shared" si="4"/>
        <v>-3</v>
      </c>
      <c r="U15">
        <f t="shared" si="4"/>
        <v>-4</v>
      </c>
      <c r="V15">
        <f t="shared" si="4"/>
        <v>2</v>
      </c>
      <c r="W15">
        <f t="shared" si="4"/>
        <v>1</v>
      </c>
      <c r="X15">
        <f t="shared" si="4"/>
        <v>0</v>
      </c>
      <c r="Y15">
        <f t="shared" si="4"/>
        <v>-1</v>
      </c>
      <c r="Z15">
        <f t="shared" si="4"/>
        <v>-2</v>
      </c>
      <c r="AA15">
        <f t="shared" si="4"/>
        <v>-3</v>
      </c>
      <c r="AB15">
        <f t="shared" si="4"/>
        <v>-4</v>
      </c>
      <c r="AC15">
        <f t="shared" si="4"/>
        <v>-5</v>
      </c>
      <c r="AD15">
        <f t="shared" si="4"/>
        <v>-6</v>
      </c>
      <c r="AE15">
        <f t="shared" si="4"/>
        <v>-7</v>
      </c>
      <c r="AF15">
        <f t="shared" si="4"/>
        <v>-8</v>
      </c>
      <c r="AG15">
        <f t="shared" si="4"/>
        <v>-9</v>
      </c>
      <c r="AH15">
        <f t="shared" si="4"/>
        <v>-10</v>
      </c>
      <c r="AI15">
        <f t="shared" si="4"/>
        <v>-11</v>
      </c>
      <c r="AJ15">
        <f t="shared" si="4"/>
        <v>-12</v>
      </c>
    </row>
    <row r="16" spans="1:70" x14ac:dyDescent="0.2">
      <c r="A16" s="16" t="s">
        <v>13</v>
      </c>
      <c r="B16" s="17">
        <v>2.4900000000000002</v>
      </c>
      <c r="C16" s="18">
        <v>5</v>
      </c>
      <c r="F16" s="3"/>
    </row>
    <row r="17" spans="5:70" x14ac:dyDescent="0.2">
      <c r="F17" s="15" t="s">
        <v>17</v>
      </c>
    </row>
    <row r="18" spans="5:70" x14ac:dyDescent="0.2">
      <c r="F18" s="10" t="s">
        <v>18</v>
      </c>
      <c r="G18" s="2">
        <v>1</v>
      </c>
      <c r="H18" s="2">
        <v>2</v>
      </c>
      <c r="I18" s="2">
        <v>3</v>
      </c>
      <c r="J18" s="2">
        <v>4</v>
      </c>
      <c r="K18" s="2">
        <v>5</v>
      </c>
      <c r="L18" s="2">
        <v>6</v>
      </c>
      <c r="M18" s="2">
        <v>7</v>
      </c>
      <c r="N18" s="2">
        <v>8</v>
      </c>
      <c r="O18" s="2">
        <v>9</v>
      </c>
      <c r="P18" s="2">
        <v>10</v>
      </c>
      <c r="Q18" s="2">
        <v>11</v>
      </c>
      <c r="R18" s="2">
        <v>12</v>
      </c>
      <c r="S18" s="2">
        <v>13</v>
      </c>
      <c r="T18" s="2">
        <v>14</v>
      </c>
      <c r="U18" s="2">
        <v>15</v>
      </c>
      <c r="V18" s="2">
        <v>16</v>
      </c>
      <c r="W18" s="2">
        <v>17</v>
      </c>
      <c r="X18" s="2">
        <v>18</v>
      </c>
      <c r="Y18" s="2">
        <v>19</v>
      </c>
      <c r="Z18" s="2">
        <v>20</v>
      </c>
      <c r="AA18" s="2">
        <v>21</v>
      </c>
      <c r="AB18" s="2">
        <v>22</v>
      </c>
      <c r="AC18" s="2">
        <v>23</v>
      </c>
      <c r="AD18" s="2">
        <v>24</v>
      </c>
      <c r="AE18" s="2">
        <v>25</v>
      </c>
      <c r="AF18" s="2">
        <v>26</v>
      </c>
      <c r="AG18" s="2">
        <v>27</v>
      </c>
      <c r="AH18" s="2">
        <v>28</v>
      </c>
      <c r="AI18" s="2">
        <v>29</v>
      </c>
      <c r="AJ18" s="2">
        <v>30</v>
      </c>
    </row>
    <row r="19" spans="5:70" x14ac:dyDescent="0.2">
      <c r="F19" s="3" t="s">
        <v>35</v>
      </c>
      <c r="G19">
        <f>G25</f>
        <v>3.0000009999999993</v>
      </c>
      <c r="H19">
        <f t="shared" ref="H19:AJ19" si="5">IF(H22=0,0-H3,G19+H25-H3)</f>
        <v>2.0000009999999993</v>
      </c>
      <c r="I19">
        <f t="shared" si="5"/>
        <v>9.9999999925159955E-7</v>
      </c>
      <c r="J19">
        <f t="shared" si="5"/>
        <v>0</v>
      </c>
      <c r="K19">
        <f t="shared" si="5"/>
        <v>0</v>
      </c>
      <c r="L19">
        <f t="shared" si="5"/>
        <v>2</v>
      </c>
      <c r="M19">
        <f t="shared" si="5"/>
        <v>2</v>
      </c>
      <c r="N19">
        <f t="shared" si="5"/>
        <v>1.5079545421487603</v>
      </c>
      <c r="O19">
        <f t="shared" si="5"/>
        <v>1.5079545421487603</v>
      </c>
      <c r="P19">
        <f t="shared" si="5"/>
        <v>1.5079545421487603</v>
      </c>
      <c r="Q19">
        <f t="shared" si="5"/>
        <v>3.5079545421487603</v>
      </c>
      <c r="R19">
        <f t="shared" si="5"/>
        <v>3.5079545421487603</v>
      </c>
      <c r="S19">
        <f t="shared" si="5"/>
        <v>3.5079545421487603</v>
      </c>
      <c r="T19">
        <f t="shared" si="5"/>
        <v>-2</v>
      </c>
      <c r="U19">
        <f t="shared" si="5"/>
        <v>0.22297780475316786</v>
      </c>
      <c r="V19">
        <f t="shared" si="5"/>
        <v>2.2229778047531679</v>
      </c>
      <c r="W19">
        <f t="shared" si="5"/>
        <v>2.2229778047531679</v>
      </c>
      <c r="X19">
        <f t="shared" si="5"/>
        <v>2.2229778047531679</v>
      </c>
      <c r="Y19">
        <f t="shared" si="5"/>
        <v>0</v>
      </c>
      <c r="Z19">
        <f t="shared" si="5"/>
        <v>-2</v>
      </c>
      <c r="AA19">
        <f t="shared" si="5"/>
        <v>0</v>
      </c>
      <c r="AB19">
        <f t="shared" si="5"/>
        <v>0.75579545457851238</v>
      </c>
      <c r="AC19">
        <f t="shared" si="5"/>
        <v>0.75579545457851238</v>
      </c>
      <c r="AD19">
        <f t="shared" si="5"/>
        <v>0.75579545457851238</v>
      </c>
      <c r="AE19">
        <f t="shared" si="5"/>
        <v>-2</v>
      </c>
      <c r="AF19">
        <f t="shared" si="5"/>
        <v>-2</v>
      </c>
      <c r="AG19">
        <f t="shared" si="5"/>
        <v>-2</v>
      </c>
      <c r="AH19">
        <f t="shared" si="5"/>
        <v>-2</v>
      </c>
      <c r="AI19">
        <f t="shared" si="5"/>
        <v>0.90072834370468247</v>
      </c>
      <c r="AJ19">
        <f t="shared" si="5"/>
        <v>0.90072834370468247</v>
      </c>
      <c r="BR19" s="3"/>
    </row>
    <row r="21" spans="5:70" x14ac:dyDescent="0.2">
      <c r="F21" s="10" t="s">
        <v>23</v>
      </c>
      <c r="G21" s="2">
        <v>1</v>
      </c>
      <c r="H21" s="2">
        <v>2</v>
      </c>
      <c r="I21" s="2">
        <v>3</v>
      </c>
      <c r="J21" s="2">
        <v>4</v>
      </c>
      <c r="K21" s="2">
        <v>5</v>
      </c>
      <c r="L21" s="2">
        <v>6</v>
      </c>
      <c r="M21" s="2">
        <v>7</v>
      </c>
      <c r="N21" s="2">
        <v>8</v>
      </c>
      <c r="O21" s="2">
        <v>9</v>
      </c>
      <c r="P21" s="2">
        <v>10</v>
      </c>
      <c r="Q21" s="2">
        <v>11</v>
      </c>
      <c r="R21" s="2">
        <v>12</v>
      </c>
      <c r="S21" s="2">
        <v>13</v>
      </c>
      <c r="T21" s="2">
        <v>14</v>
      </c>
      <c r="U21" s="2">
        <v>15</v>
      </c>
      <c r="V21" s="2">
        <v>16</v>
      </c>
      <c r="W21" s="2">
        <v>17</v>
      </c>
      <c r="X21" s="2">
        <v>18</v>
      </c>
      <c r="Y21" s="2">
        <v>19</v>
      </c>
      <c r="Z21" s="2">
        <v>20</v>
      </c>
      <c r="AA21" s="2">
        <v>21</v>
      </c>
      <c r="AB21" s="2">
        <v>22</v>
      </c>
      <c r="AC21" s="2">
        <v>23</v>
      </c>
      <c r="AD21" s="2">
        <v>24</v>
      </c>
      <c r="AE21" s="2">
        <v>25</v>
      </c>
      <c r="AF21" s="2">
        <v>26</v>
      </c>
      <c r="AG21" s="2">
        <v>27</v>
      </c>
      <c r="AH21" s="2">
        <v>28</v>
      </c>
      <c r="AI21" s="2">
        <v>29</v>
      </c>
      <c r="AJ21" s="2">
        <v>30</v>
      </c>
    </row>
    <row r="22" spans="5:70" x14ac:dyDescent="0.2">
      <c r="F22" s="3" t="s">
        <v>35</v>
      </c>
      <c r="G22">
        <f>IF(G7&gt;0,E3,0)</f>
        <v>3</v>
      </c>
      <c r="H22">
        <f t="shared" ref="H22:AJ22" si="6">IF(H7=0,G22-1,$E3)</f>
        <v>2</v>
      </c>
      <c r="I22">
        <f t="shared" si="6"/>
        <v>1</v>
      </c>
      <c r="J22">
        <f t="shared" si="6"/>
        <v>0</v>
      </c>
      <c r="K22">
        <f t="shared" si="6"/>
        <v>-1</v>
      </c>
      <c r="L22">
        <f t="shared" si="6"/>
        <v>3</v>
      </c>
      <c r="M22">
        <f t="shared" si="6"/>
        <v>2</v>
      </c>
      <c r="N22">
        <f t="shared" si="6"/>
        <v>3</v>
      </c>
      <c r="O22">
        <f t="shared" si="6"/>
        <v>2</v>
      </c>
      <c r="P22">
        <f t="shared" si="6"/>
        <v>1</v>
      </c>
      <c r="Q22">
        <f t="shared" si="6"/>
        <v>3</v>
      </c>
      <c r="R22">
        <f t="shared" si="6"/>
        <v>2</v>
      </c>
      <c r="S22">
        <f t="shared" si="6"/>
        <v>1</v>
      </c>
      <c r="T22">
        <f t="shared" si="6"/>
        <v>0</v>
      </c>
      <c r="U22">
        <f t="shared" si="6"/>
        <v>3</v>
      </c>
      <c r="V22">
        <f t="shared" si="6"/>
        <v>3</v>
      </c>
      <c r="W22">
        <f t="shared" si="6"/>
        <v>2</v>
      </c>
      <c r="X22">
        <f t="shared" si="6"/>
        <v>1</v>
      </c>
      <c r="Y22">
        <f t="shared" si="6"/>
        <v>0</v>
      </c>
      <c r="Z22">
        <f t="shared" si="6"/>
        <v>-1</v>
      </c>
      <c r="AA22">
        <f t="shared" si="6"/>
        <v>3</v>
      </c>
      <c r="AB22">
        <f t="shared" si="6"/>
        <v>3</v>
      </c>
      <c r="AC22">
        <f t="shared" si="6"/>
        <v>2</v>
      </c>
      <c r="AD22">
        <f t="shared" si="6"/>
        <v>1</v>
      </c>
      <c r="AE22">
        <f t="shared" si="6"/>
        <v>0</v>
      </c>
      <c r="AF22">
        <f t="shared" si="6"/>
        <v>-1</v>
      </c>
      <c r="AG22">
        <f t="shared" si="6"/>
        <v>-2</v>
      </c>
      <c r="AH22">
        <f t="shared" si="6"/>
        <v>-3</v>
      </c>
      <c r="AI22">
        <f t="shared" si="6"/>
        <v>3</v>
      </c>
      <c r="AJ22">
        <f t="shared" si="6"/>
        <v>2</v>
      </c>
    </row>
    <row r="23" spans="5:70" x14ac:dyDescent="0.2">
      <c r="F23" s="3"/>
    </row>
    <row r="24" spans="5:70" x14ac:dyDescent="0.2">
      <c r="F24" s="10" t="s">
        <v>19</v>
      </c>
      <c r="G24" s="2">
        <v>1</v>
      </c>
      <c r="H24" s="2">
        <v>2</v>
      </c>
      <c r="I24" s="2">
        <v>3</v>
      </c>
      <c r="J24" s="2">
        <v>4</v>
      </c>
      <c r="K24" s="2">
        <v>5</v>
      </c>
      <c r="L24" s="2">
        <v>6</v>
      </c>
      <c r="M24" s="2">
        <v>7</v>
      </c>
      <c r="N24" s="2">
        <v>8</v>
      </c>
      <c r="O24" s="2">
        <v>9</v>
      </c>
      <c r="P24" s="2">
        <v>10</v>
      </c>
      <c r="Q24" s="2">
        <v>11</v>
      </c>
      <c r="R24" s="2">
        <v>12</v>
      </c>
      <c r="S24" s="2">
        <v>13</v>
      </c>
      <c r="T24" s="2">
        <v>14</v>
      </c>
      <c r="U24" s="2">
        <v>15</v>
      </c>
      <c r="V24" s="2">
        <v>16</v>
      </c>
      <c r="W24" s="2">
        <v>17</v>
      </c>
      <c r="X24" s="2">
        <v>18</v>
      </c>
      <c r="Y24" s="2">
        <v>19</v>
      </c>
      <c r="Z24" s="2">
        <v>20</v>
      </c>
      <c r="AA24" s="2">
        <v>21</v>
      </c>
      <c r="AB24" s="2">
        <v>22</v>
      </c>
      <c r="AC24" s="2">
        <v>23</v>
      </c>
      <c r="AD24" s="2">
        <v>24</v>
      </c>
      <c r="AE24" s="2">
        <v>25</v>
      </c>
      <c r="AF24" s="2">
        <v>26</v>
      </c>
      <c r="AG24" s="2">
        <v>27</v>
      </c>
      <c r="AH24" s="2">
        <v>28</v>
      </c>
      <c r="AI24" s="2">
        <v>29</v>
      </c>
      <c r="AJ24" s="2">
        <v>30</v>
      </c>
      <c r="BO24" s="14"/>
      <c r="BP24" s="14"/>
      <c r="BQ24" s="14"/>
      <c r="BR24" s="3"/>
    </row>
    <row r="25" spans="5:70" x14ac:dyDescent="0.2">
      <c r="F25" s="3" t="s">
        <v>35</v>
      </c>
      <c r="G25">
        <f t="shared" ref="G25:AJ25" si="7">G7*$C9</f>
        <v>3.0000009999999993</v>
      </c>
      <c r="H25">
        <f t="shared" si="7"/>
        <v>0</v>
      </c>
      <c r="I25">
        <f t="shared" si="7"/>
        <v>0</v>
      </c>
      <c r="J25">
        <f t="shared" si="7"/>
        <v>0</v>
      </c>
      <c r="K25">
        <f t="shared" si="7"/>
        <v>0</v>
      </c>
      <c r="L25">
        <f t="shared" si="7"/>
        <v>2</v>
      </c>
      <c r="M25">
        <f t="shared" si="7"/>
        <v>0</v>
      </c>
      <c r="N25">
        <f t="shared" si="7"/>
        <v>1.5079545421487606</v>
      </c>
      <c r="O25">
        <f t="shared" si="7"/>
        <v>0</v>
      </c>
      <c r="P25">
        <f t="shared" si="7"/>
        <v>0</v>
      </c>
      <c r="Q25">
        <f t="shared" si="7"/>
        <v>2</v>
      </c>
      <c r="R25">
        <f t="shared" si="7"/>
        <v>0</v>
      </c>
      <c r="S25">
        <f t="shared" si="7"/>
        <v>0</v>
      </c>
      <c r="T25">
        <f t="shared" si="7"/>
        <v>0</v>
      </c>
      <c r="U25">
        <f t="shared" si="7"/>
        <v>2.2229778047531679</v>
      </c>
      <c r="V25">
        <f t="shared" si="7"/>
        <v>2</v>
      </c>
      <c r="W25">
        <f t="shared" si="7"/>
        <v>0</v>
      </c>
      <c r="X25">
        <f t="shared" si="7"/>
        <v>0</v>
      </c>
      <c r="Y25">
        <f t="shared" si="7"/>
        <v>0</v>
      </c>
      <c r="Z25">
        <f t="shared" si="7"/>
        <v>0</v>
      </c>
      <c r="AA25">
        <f t="shared" si="7"/>
        <v>2</v>
      </c>
      <c r="AB25">
        <f t="shared" si="7"/>
        <v>0.75579545457851238</v>
      </c>
      <c r="AC25">
        <f t="shared" si="7"/>
        <v>0</v>
      </c>
      <c r="AD25">
        <f t="shared" si="7"/>
        <v>0</v>
      </c>
      <c r="AE25">
        <f t="shared" si="7"/>
        <v>0</v>
      </c>
      <c r="AF25">
        <f t="shared" si="7"/>
        <v>0</v>
      </c>
      <c r="AG25">
        <f t="shared" si="7"/>
        <v>0</v>
      </c>
      <c r="AH25">
        <f t="shared" si="7"/>
        <v>0</v>
      </c>
      <c r="AI25">
        <f t="shared" si="7"/>
        <v>2.9007283437046825</v>
      </c>
      <c r="AJ25">
        <f t="shared" si="7"/>
        <v>0</v>
      </c>
      <c r="BR25" s="3"/>
    </row>
    <row r="26" spans="5:70" x14ac:dyDescent="0.2">
      <c r="F26" s="3"/>
      <c r="BR26" s="3"/>
    </row>
    <row r="27" spans="5:70" x14ac:dyDescent="0.2">
      <c r="F27" s="10" t="s">
        <v>24</v>
      </c>
      <c r="G27" s="2">
        <v>1</v>
      </c>
      <c r="H27" s="2">
        <v>2</v>
      </c>
      <c r="I27" s="2">
        <v>3</v>
      </c>
      <c r="J27" s="2">
        <v>4</v>
      </c>
      <c r="K27" s="2">
        <v>5</v>
      </c>
      <c r="L27" s="2">
        <v>6</v>
      </c>
      <c r="M27" s="2">
        <v>7</v>
      </c>
      <c r="N27" s="2">
        <v>8</v>
      </c>
      <c r="O27" s="2">
        <v>9</v>
      </c>
      <c r="P27" s="2">
        <v>10</v>
      </c>
      <c r="Q27" s="2">
        <v>11</v>
      </c>
      <c r="R27" s="2">
        <v>12</v>
      </c>
      <c r="S27" s="2">
        <v>13</v>
      </c>
      <c r="T27" s="2">
        <v>14</v>
      </c>
      <c r="U27" s="2">
        <v>15</v>
      </c>
      <c r="V27" s="2">
        <v>16</v>
      </c>
      <c r="W27" s="2">
        <v>17</v>
      </c>
      <c r="X27" s="2">
        <v>18</v>
      </c>
      <c r="Y27" s="2">
        <v>19</v>
      </c>
      <c r="Z27" s="2">
        <v>20</v>
      </c>
      <c r="AA27" s="2">
        <v>21</v>
      </c>
      <c r="AB27" s="2">
        <v>22</v>
      </c>
      <c r="AC27" s="2">
        <v>23</v>
      </c>
      <c r="AD27" s="2">
        <v>24</v>
      </c>
      <c r="AE27" s="2">
        <v>25</v>
      </c>
      <c r="AF27" s="2">
        <v>26</v>
      </c>
      <c r="AG27" s="2">
        <v>27</v>
      </c>
      <c r="AH27" s="2">
        <v>28</v>
      </c>
      <c r="AI27" s="2">
        <v>29</v>
      </c>
      <c r="AJ27" s="2">
        <v>30</v>
      </c>
      <c r="BR27" s="3"/>
    </row>
    <row r="28" spans="5:70" x14ac:dyDescent="0.2">
      <c r="F28" s="3" t="s">
        <v>35</v>
      </c>
      <c r="G28">
        <v>0</v>
      </c>
      <c r="H28">
        <f t="shared" ref="H28:AJ28" si="8">IF(H15=0,IF(H22=0, H19, IF(G11-H3&lt;0,0,G11-H3)),IF(H22=0,IF(G19-H3&lt;0,0,G19-H3),0))</f>
        <v>0</v>
      </c>
      <c r="I28">
        <f t="shared" si="8"/>
        <v>0</v>
      </c>
      <c r="J28">
        <f t="shared" si="8"/>
        <v>9.9999999925159955E-7</v>
      </c>
      <c r="K28">
        <f t="shared" si="8"/>
        <v>0</v>
      </c>
      <c r="L28">
        <f t="shared" si="8"/>
        <v>0</v>
      </c>
      <c r="M28">
        <f t="shared" si="8"/>
        <v>0</v>
      </c>
      <c r="N28">
        <f t="shared" si="8"/>
        <v>0</v>
      </c>
      <c r="O28">
        <f t="shared" si="8"/>
        <v>0</v>
      </c>
      <c r="P28">
        <f t="shared" si="8"/>
        <v>0</v>
      </c>
      <c r="Q28">
        <f t="shared" si="8"/>
        <v>0</v>
      </c>
      <c r="R28">
        <f t="shared" si="8"/>
        <v>0</v>
      </c>
      <c r="S28">
        <f t="shared" si="8"/>
        <v>0</v>
      </c>
      <c r="T28">
        <f t="shared" si="8"/>
        <v>1.5079545421487603</v>
      </c>
      <c r="U28">
        <f t="shared" si="8"/>
        <v>0</v>
      </c>
      <c r="V28">
        <f t="shared" si="8"/>
        <v>0</v>
      </c>
      <c r="W28">
        <f t="shared" si="8"/>
        <v>0</v>
      </c>
      <c r="X28">
        <f t="shared" si="8"/>
        <v>0</v>
      </c>
      <c r="Y28">
        <f t="shared" si="8"/>
        <v>2.2229778047531679</v>
      </c>
      <c r="Z28">
        <f t="shared" si="8"/>
        <v>0</v>
      </c>
      <c r="AA28">
        <f t="shared" si="8"/>
        <v>0</v>
      </c>
      <c r="AB28">
        <f t="shared" si="8"/>
        <v>0</v>
      </c>
      <c r="AC28">
        <f t="shared" si="8"/>
        <v>0</v>
      </c>
      <c r="AD28">
        <f t="shared" si="8"/>
        <v>0</v>
      </c>
      <c r="AE28">
        <f t="shared" si="8"/>
        <v>0</v>
      </c>
      <c r="AF28">
        <f t="shared" si="8"/>
        <v>0</v>
      </c>
      <c r="AG28">
        <f t="shared" si="8"/>
        <v>0</v>
      </c>
      <c r="AH28">
        <f t="shared" si="8"/>
        <v>0</v>
      </c>
      <c r="AI28">
        <f t="shared" si="8"/>
        <v>0</v>
      </c>
      <c r="AJ28">
        <f t="shared" si="8"/>
        <v>0</v>
      </c>
      <c r="BR28" s="3"/>
    </row>
    <row r="29" spans="5:70" x14ac:dyDescent="0.2">
      <c r="E29" s="3" t="s">
        <v>35</v>
      </c>
      <c r="F29">
        <v>1</v>
      </c>
      <c r="G29">
        <f>G$6</f>
        <v>1</v>
      </c>
      <c r="AK29">
        <f t="shared" ref="AK29:AK58" si="9">SUMPRODUCT($G$7:$AJ$7,G29:AJ29)</f>
        <v>3.0000009999999993</v>
      </c>
      <c r="AL29" t="s">
        <v>16</v>
      </c>
      <c r="AM29">
        <f ca="1">IF(G6=1,SUM(OFFSET(G3,0,0,1,$AM$2)),0)</f>
        <v>3</v>
      </c>
      <c r="BR29" s="3"/>
    </row>
    <row r="30" spans="5:70" x14ac:dyDescent="0.2">
      <c r="F30">
        <v>2</v>
      </c>
      <c r="H30">
        <v>1</v>
      </c>
      <c r="AK30">
        <f t="shared" si="9"/>
        <v>0</v>
      </c>
      <c r="AL30" t="s">
        <v>16</v>
      </c>
      <c r="AM30">
        <f ca="1">H13</f>
        <v>0</v>
      </c>
      <c r="BR30" s="3"/>
    </row>
    <row r="31" spans="5:70" x14ac:dyDescent="0.2">
      <c r="F31">
        <v>3</v>
      </c>
      <c r="I31">
        <v>1</v>
      </c>
      <c r="AK31">
        <f t="shared" si="9"/>
        <v>0</v>
      </c>
      <c r="AL31" t="s">
        <v>16</v>
      </c>
      <c r="AM31">
        <f ca="1">I13</f>
        <v>0</v>
      </c>
      <c r="BR31" s="3"/>
    </row>
    <row r="32" spans="5:70" x14ac:dyDescent="0.2">
      <c r="F32">
        <v>4</v>
      </c>
      <c r="J32">
        <v>1</v>
      </c>
      <c r="AK32">
        <f t="shared" si="9"/>
        <v>0</v>
      </c>
      <c r="AL32" t="s">
        <v>16</v>
      </c>
      <c r="AM32">
        <f ca="1">J13</f>
        <v>0</v>
      </c>
      <c r="BR32" s="3"/>
    </row>
    <row r="33" spans="6:70" ht="15.5" x14ac:dyDescent="0.2">
      <c r="F33">
        <v>5</v>
      </c>
      <c r="K33">
        <v>1</v>
      </c>
      <c r="AK33">
        <f t="shared" si="9"/>
        <v>0</v>
      </c>
      <c r="AL33" t="s">
        <v>16</v>
      </c>
      <c r="AM33">
        <f ca="1">K13</f>
        <v>0</v>
      </c>
    </row>
    <row r="34" spans="6:70" ht="15.5" x14ac:dyDescent="0.2">
      <c r="F34">
        <v>6</v>
      </c>
      <c r="L34">
        <v>1</v>
      </c>
      <c r="AK34">
        <f t="shared" si="9"/>
        <v>2</v>
      </c>
      <c r="AL34" t="s">
        <v>16</v>
      </c>
      <c r="AM34">
        <f ca="1">L13</f>
        <v>2</v>
      </c>
    </row>
    <row r="35" spans="6:70" x14ac:dyDescent="0.2">
      <c r="F35">
        <v>7</v>
      </c>
      <c r="M35">
        <v>1</v>
      </c>
      <c r="AK35">
        <f t="shared" si="9"/>
        <v>0</v>
      </c>
      <c r="AL35" t="s">
        <v>16</v>
      </c>
      <c r="AM35">
        <f ca="1">M13</f>
        <v>0</v>
      </c>
      <c r="BR35" s="3"/>
    </row>
    <row r="36" spans="6:70" x14ac:dyDescent="0.2">
      <c r="F36">
        <v>8</v>
      </c>
      <c r="N36">
        <f>N$6</f>
        <v>0</v>
      </c>
      <c r="AK36">
        <f t="shared" si="9"/>
        <v>0</v>
      </c>
      <c r="AL36" t="s">
        <v>16</v>
      </c>
      <c r="AM36">
        <f ca="1">N13</f>
        <v>0</v>
      </c>
      <c r="BR36" s="3"/>
    </row>
    <row r="37" spans="6:70" x14ac:dyDescent="0.2">
      <c r="F37">
        <v>9</v>
      </c>
      <c r="O37">
        <v>1</v>
      </c>
      <c r="AK37">
        <f t="shared" si="9"/>
        <v>0</v>
      </c>
      <c r="AL37" t="s">
        <v>16</v>
      </c>
      <c r="AM37">
        <f ca="1">O13</f>
        <v>0</v>
      </c>
      <c r="BR37" s="3"/>
    </row>
    <row r="38" spans="6:70" x14ac:dyDescent="0.2">
      <c r="F38">
        <v>10</v>
      </c>
      <c r="P38">
        <v>1</v>
      </c>
      <c r="AK38">
        <f t="shared" si="9"/>
        <v>0</v>
      </c>
      <c r="AL38" t="s">
        <v>16</v>
      </c>
      <c r="AM38">
        <f ca="1">P13</f>
        <v>0</v>
      </c>
      <c r="BR38" s="3"/>
    </row>
    <row r="39" spans="6:70" x14ac:dyDescent="0.2">
      <c r="F39">
        <v>11</v>
      </c>
      <c r="Q39">
        <v>1</v>
      </c>
      <c r="AK39">
        <f t="shared" si="9"/>
        <v>2</v>
      </c>
      <c r="AL39" t="s">
        <v>16</v>
      </c>
      <c r="AM39">
        <f ca="1">Q13</f>
        <v>2</v>
      </c>
      <c r="BR39" s="3"/>
    </row>
    <row r="40" spans="6:70" x14ac:dyDescent="0.2">
      <c r="F40">
        <v>12</v>
      </c>
      <c r="R40">
        <v>1</v>
      </c>
      <c r="AK40">
        <f t="shared" si="9"/>
        <v>0</v>
      </c>
      <c r="AL40" t="s">
        <v>16</v>
      </c>
      <c r="AM40">
        <f ca="1">R13</f>
        <v>0</v>
      </c>
      <c r="BR40" s="3"/>
    </row>
    <row r="41" spans="6:70" x14ac:dyDescent="0.2">
      <c r="F41">
        <v>13</v>
      </c>
      <c r="S41">
        <v>1</v>
      </c>
      <c r="AK41">
        <f t="shared" si="9"/>
        <v>0</v>
      </c>
      <c r="AL41" t="s">
        <v>16</v>
      </c>
      <c r="AM41">
        <f ca="1">S13</f>
        <v>0</v>
      </c>
      <c r="BR41" s="3"/>
    </row>
    <row r="42" spans="6:70" ht="15.5" x14ac:dyDescent="0.2">
      <c r="F42">
        <v>14</v>
      </c>
      <c r="T42">
        <v>1</v>
      </c>
      <c r="AK42">
        <f t="shared" si="9"/>
        <v>0</v>
      </c>
      <c r="AL42" t="s">
        <v>16</v>
      </c>
      <c r="AM42">
        <f ca="1">T13</f>
        <v>0</v>
      </c>
    </row>
    <row r="43" spans="6:70" ht="15.5" x14ac:dyDescent="0.2">
      <c r="F43">
        <v>15</v>
      </c>
      <c r="U43">
        <f>U$6</f>
        <v>0</v>
      </c>
      <c r="AK43">
        <f t="shared" si="9"/>
        <v>0</v>
      </c>
      <c r="AL43" t="s">
        <v>16</v>
      </c>
      <c r="AM43">
        <f ca="1">U13</f>
        <v>0</v>
      </c>
    </row>
    <row r="44" spans="6:70" ht="15.5" x14ac:dyDescent="0.2">
      <c r="F44">
        <v>16</v>
      </c>
      <c r="V44">
        <v>1</v>
      </c>
      <c r="AK44">
        <f t="shared" si="9"/>
        <v>2</v>
      </c>
      <c r="AL44" t="s">
        <v>16</v>
      </c>
      <c r="AM44">
        <f ca="1">V13</f>
        <v>2</v>
      </c>
    </row>
    <row r="45" spans="6:70" x14ac:dyDescent="0.2">
      <c r="F45">
        <v>17</v>
      </c>
      <c r="W45">
        <v>1</v>
      </c>
      <c r="AK45">
        <f t="shared" si="9"/>
        <v>0</v>
      </c>
      <c r="AL45" t="s">
        <v>16</v>
      </c>
      <c r="AM45">
        <f ca="1">W13</f>
        <v>0</v>
      </c>
      <c r="BR45" s="3"/>
    </row>
    <row r="46" spans="6:70" x14ac:dyDescent="0.2">
      <c r="F46">
        <v>18</v>
      </c>
      <c r="X46">
        <v>1</v>
      </c>
      <c r="AK46">
        <f t="shared" si="9"/>
        <v>0</v>
      </c>
      <c r="AL46" t="s">
        <v>16</v>
      </c>
      <c r="AM46">
        <f ca="1">X13</f>
        <v>0</v>
      </c>
      <c r="BR46" s="3"/>
    </row>
    <row r="47" spans="6:70" x14ac:dyDescent="0.2">
      <c r="F47">
        <v>19</v>
      </c>
      <c r="Y47">
        <v>1</v>
      </c>
      <c r="AK47">
        <f t="shared" si="9"/>
        <v>0</v>
      </c>
      <c r="AL47" t="s">
        <v>16</v>
      </c>
      <c r="AM47">
        <f ca="1">Y13</f>
        <v>0</v>
      </c>
      <c r="BR47" s="3"/>
    </row>
    <row r="48" spans="6:70" x14ac:dyDescent="0.2">
      <c r="F48">
        <v>20</v>
      </c>
      <c r="Z48">
        <v>1</v>
      </c>
      <c r="AK48">
        <f t="shared" si="9"/>
        <v>0</v>
      </c>
      <c r="AL48" t="s">
        <v>16</v>
      </c>
      <c r="AM48">
        <f ca="1">Z13</f>
        <v>0</v>
      </c>
      <c r="BR48" s="3"/>
    </row>
    <row r="49" spans="6:70" x14ac:dyDescent="0.2">
      <c r="F49">
        <v>21</v>
      </c>
      <c r="AA49">
        <v>1</v>
      </c>
      <c r="AK49">
        <f t="shared" si="9"/>
        <v>2</v>
      </c>
      <c r="AL49" t="s">
        <v>16</v>
      </c>
      <c r="AM49">
        <f ca="1">AA13</f>
        <v>2</v>
      </c>
      <c r="BR49" s="3"/>
    </row>
    <row r="50" spans="6:70" x14ac:dyDescent="0.2">
      <c r="F50">
        <v>22</v>
      </c>
      <c r="AB50">
        <f>AB$6</f>
        <v>0</v>
      </c>
      <c r="AK50">
        <f t="shared" si="9"/>
        <v>0</v>
      </c>
      <c r="AL50" t="s">
        <v>16</v>
      </c>
      <c r="AM50">
        <f ca="1">AB13</f>
        <v>0</v>
      </c>
      <c r="BR50" s="3"/>
    </row>
    <row r="51" spans="6:70" x14ac:dyDescent="0.2">
      <c r="F51">
        <v>23</v>
      </c>
      <c r="AC51">
        <v>1</v>
      </c>
      <c r="AK51">
        <f t="shared" si="9"/>
        <v>0</v>
      </c>
      <c r="AL51" t="s">
        <v>16</v>
      </c>
      <c r="AM51">
        <f ca="1">AC13</f>
        <v>0</v>
      </c>
      <c r="BR51" s="3"/>
    </row>
    <row r="52" spans="6:70" ht="15.5" x14ac:dyDescent="0.2">
      <c r="F52">
        <v>24</v>
      </c>
      <c r="AD52">
        <v>1</v>
      </c>
      <c r="AK52">
        <f t="shared" si="9"/>
        <v>0</v>
      </c>
      <c r="AL52" t="s">
        <v>16</v>
      </c>
      <c r="AM52">
        <f ca="1">AD13</f>
        <v>0</v>
      </c>
    </row>
    <row r="53" spans="6:70" x14ac:dyDescent="0.2">
      <c r="F53">
        <v>25</v>
      </c>
      <c r="AE53">
        <v>1</v>
      </c>
      <c r="AK53">
        <f t="shared" si="9"/>
        <v>0</v>
      </c>
      <c r="AL53" t="s">
        <v>16</v>
      </c>
      <c r="AM53">
        <f ca="1">AE13</f>
        <v>0</v>
      </c>
    </row>
    <row r="54" spans="6:70" x14ac:dyDescent="0.2">
      <c r="F54">
        <v>26</v>
      </c>
      <c r="AF54">
        <v>1</v>
      </c>
      <c r="AK54">
        <f t="shared" si="9"/>
        <v>0</v>
      </c>
      <c r="AL54" t="s">
        <v>16</v>
      </c>
      <c r="AM54">
        <f ca="1">AF13</f>
        <v>0</v>
      </c>
    </row>
    <row r="55" spans="6:70" x14ac:dyDescent="0.2">
      <c r="F55">
        <v>27</v>
      </c>
      <c r="AG55">
        <v>1</v>
      </c>
      <c r="AK55">
        <f t="shared" si="9"/>
        <v>0</v>
      </c>
      <c r="AL55" t="s">
        <v>16</v>
      </c>
      <c r="AM55">
        <f ca="1">AG13</f>
        <v>0</v>
      </c>
      <c r="BR55" s="3"/>
    </row>
    <row r="56" spans="6:70" x14ac:dyDescent="0.2">
      <c r="F56">
        <v>28</v>
      </c>
      <c r="AH56">
        <v>1</v>
      </c>
      <c r="AK56">
        <f t="shared" si="9"/>
        <v>0</v>
      </c>
      <c r="AL56" t="s">
        <v>16</v>
      </c>
      <c r="AM56">
        <f ca="1">AH13</f>
        <v>0</v>
      </c>
      <c r="BR56" s="3"/>
    </row>
    <row r="57" spans="6:70" x14ac:dyDescent="0.2">
      <c r="F57">
        <v>29</v>
      </c>
      <c r="AI57">
        <f>AI6</f>
        <v>0</v>
      </c>
      <c r="AK57">
        <f t="shared" si="9"/>
        <v>0</v>
      </c>
      <c r="AL57" t="s">
        <v>16</v>
      </c>
      <c r="AM57">
        <f ca="1">AI13</f>
        <v>0</v>
      </c>
      <c r="BR57" s="3"/>
    </row>
    <row r="58" spans="6:70" x14ac:dyDescent="0.2">
      <c r="F58">
        <v>30</v>
      </c>
      <c r="AJ58">
        <v>1</v>
      </c>
      <c r="AK58">
        <f t="shared" si="9"/>
        <v>0</v>
      </c>
      <c r="AL58" t="s">
        <v>16</v>
      </c>
      <c r="AM58">
        <f ca="1">AJ13</f>
        <v>0</v>
      </c>
      <c r="BR58" s="3"/>
    </row>
    <row r="59" spans="6:70" x14ac:dyDescent="0.2">
      <c r="BR59" s="3"/>
    </row>
    <row r="60" spans="6:70" x14ac:dyDescent="0.2">
      <c r="BR60" s="3"/>
    </row>
    <row r="61" spans="6:70" x14ac:dyDescent="0.2">
      <c r="BR61" s="3"/>
    </row>
    <row r="80" spans="2:66" x14ac:dyDescent="0.2"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</row>
    <row r="136" spans="2:66" x14ac:dyDescent="0.2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</row>
    <row r="164" spans="2:66" x14ac:dyDescent="0.2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</row>
    <row r="192" spans="2:66" x14ac:dyDescent="0.2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</row>
    <row r="220" spans="2:66" x14ac:dyDescent="0.2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</row>
  </sheetData>
  <conditionalFormatting sqref="BZ7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24:CT30 BS55:CT61 G19:AJ19 G28:AJ28">
    <cfRule type="cellIs" dxfId="2" priority="1" operator="lessThan">
      <formula>0</formula>
    </cfRule>
  </conditionalFormatting>
  <conditionalFormatting sqref="G6:AJ6">
    <cfRule type="colorScale" priority="3">
      <colorScale>
        <cfvo type="min"/>
        <cfvo type="max"/>
        <color theme="0"/>
        <color theme="7"/>
      </colorScale>
    </cfRule>
    <cfRule type="colorScale" priority="4">
      <colorScale>
        <cfvo type="min"/>
        <cfvo type="max"/>
        <color rgb="FF63BE7B"/>
        <color rgb="FFFFEF9C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56966-B7AD-43CE-B847-6810EF700B0D}">
  <sheetPr codeName="Sheet8"/>
  <dimension ref="A1:BR220"/>
  <sheetViews>
    <sheetView zoomScale="80" zoomScaleNormal="80" workbookViewId="0">
      <selection activeCell="G7" sqref="G7:AJ7"/>
    </sheetView>
  </sheetViews>
  <sheetFormatPr baseColWidth="10" defaultColWidth="11" defaultRowHeight="16" x14ac:dyDescent="0.2"/>
  <cols>
    <col min="1" max="1" width="12" customWidth="1"/>
    <col min="3" max="3" width="12.6640625" customWidth="1"/>
    <col min="4" max="4" width="4.6640625" customWidth="1"/>
    <col min="5" max="5" width="8.6640625" bestFit="1" customWidth="1"/>
    <col min="6" max="6" width="9.6640625" bestFit="1" customWidth="1"/>
    <col min="7" max="36" width="4.6640625" customWidth="1"/>
    <col min="37" max="37" width="13.33203125" customWidth="1"/>
    <col min="39" max="39" width="9.6640625" customWidth="1"/>
    <col min="40" max="40" width="5.1640625" customWidth="1"/>
    <col min="41" max="41" width="4" customWidth="1"/>
    <col min="42" max="42" width="3.1640625" customWidth="1"/>
    <col min="43" max="47" width="2.6640625" customWidth="1"/>
    <col min="48" max="69" width="3.1640625" customWidth="1"/>
    <col min="70" max="70" width="15.5" customWidth="1"/>
    <col min="71" max="71" width="3.1640625" customWidth="1"/>
    <col min="72" max="72" width="3.6640625" customWidth="1"/>
    <col min="73" max="73" width="3.1640625" customWidth="1"/>
    <col min="74" max="98" width="3.6640625" customWidth="1"/>
    <col min="99" max="100" width="2.83203125" bestFit="1" customWidth="1"/>
    <col min="102" max="102" width="10.6640625" customWidth="1"/>
    <col min="103" max="103" width="14.6640625" customWidth="1"/>
  </cols>
  <sheetData>
    <row r="1" spans="1:70" x14ac:dyDescent="0.2">
      <c r="G1" s="5">
        <f t="shared" ref="G1:AJ1" si="0">G2/$AM$2</f>
        <v>0.2</v>
      </c>
      <c r="H1" s="5">
        <f t="shared" si="0"/>
        <v>0.4</v>
      </c>
      <c r="I1" s="5">
        <f t="shared" si="0"/>
        <v>0.6</v>
      </c>
      <c r="J1" s="5">
        <f t="shared" si="0"/>
        <v>0.8</v>
      </c>
      <c r="K1" s="5">
        <f t="shared" si="0"/>
        <v>1</v>
      </c>
      <c r="L1" s="5">
        <f t="shared" si="0"/>
        <v>1.2</v>
      </c>
      <c r="M1" s="5">
        <f t="shared" si="0"/>
        <v>1.4</v>
      </c>
      <c r="N1" s="5">
        <f t="shared" si="0"/>
        <v>1.6</v>
      </c>
      <c r="O1" s="5">
        <f t="shared" si="0"/>
        <v>1.8</v>
      </c>
      <c r="P1" s="5">
        <f t="shared" si="0"/>
        <v>2</v>
      </c>
      <c r="Q1" s="5">
        <f t="shared" si="0"/>
        <v>2.2000000000000002</v>
      </c>
      <c r="R1" s="5">
        <f t="shared" si="0"/>
        <v>2.4</v>
      </c>
      <c r="S1" s="5">
        <f t="shared" si="0"/>
        <v>2.6</v>
      </c>
      <c r="T1" s="5">
        <f t="shared" si="0"/>
        <v>2.8</v>
      </c>
      <c r="U1" s="5">
        <f t="shared" si="0"/>
        <v>3</v>
      </c>
      <c r="V1" s="5">
        <f t="shared" si="0"/>
        <v>3.2</v>
      </c>
      <c r="W1" s="5">
        <f t="shared" si="0"/>
        <v>3.4</v>
      </c>
      <c r="X1" s="5">
        <f t="shared" si="0"/>
        <v>3.6</v>
      </c>
      <c r="Y1" s="5">
        <f t="shared" si="0"/>
        <v>3.8</v>
      </c>
      <c r="Z1" s="5">
        <f t="shared" si="0"/>
        <v>4</v>
      </c>
      <c r="AA1" s="5">
        <f t="shared" si="0"/>
        <v>4.2</v>
      </c>
      <c r="AB1" s="5">
        <f t="shared" si="0"/>
        <v>4.4000000000000004</v>
      </c>
      <c r="AC1" s="5">
        <f t="shared" si="0"/>
        <v>4.5999999999999996</v>
      </c>
      <c r="AD1" s="5">
        <f t="shared" si="0"/>
        <v>4.8</v>
      </c>
      <c r="AE1" s="5">
        <f t="shared" si="0"/>
        <v>5</v>
      </c>
      <c r="AF1" s="5">
        <f t="shared" si="0"/>
        <v>5.2</v>
      </c>
      <c r="AG1" s="5">
        <f t="shared" si="0"/>
        <v>5.4</v>
      </c>
      <c r="AH1" s="5">
        <f t="shared" si="0"/>
        <v>5.6</v>
      </c>
      <c r="AI1" s="5">
        <f t="shared" si="0"/>
        <v>5.8</v>
      </c>
      <c r="AJ1" s="5">
        <f t="shared" si="0"/>
        <v>6</v>
      </c>
    </row>
    <row r="2" spans="1:70" ht="17" thickBot="1" x14ac:dyDescent="0.25">
      <c r="A2" s="20" t="s">
        <v>27</v>
      </c>
      <c r="E2" s="11" t="s">
        <v>0</v>
      </c>
      <c r="F2" s="11" t="s">
        <v>1</v>
      </c>
      <c r="G2" s="10">
        <v>1</v>
      </c>
      <c r="H2" s="10">
        <v>2</v>
      </c>
      <c r="I2" s="10">
        <v>3</v>
      </c>
      <c r="J2" s="10">
        <v>4</v>
      </c>
      <c r="K2" s="10">
        <v>5</v>
      </c>
      <c r="L2" s="10">
        <v>6</v>
      </c>
      <c r="M2" s="10">
        <v>7</v>
      </c>
      <c r="N2" s="10">
        <v>8</v>
      </c>
      <c r="O2" s="10">
        <v>9</v>
      </c>
      <c r="P2" s="10">
        <v>10</v>
      </c>
      <c r="Q2" s="10">
        <v>11</v>
      </c>
      <c r="R2" s="10">
        <v>12</v>
      </c>
      <c r="S2" s="10">
        <v>13</v>
      </c>
      <c r="T2" s="10">
        <v>14</v>
      </c>
      <c r="U2" s="10">
        <v>15</v>
      </c>
      <c r="V2" s="10">
        <v>16</v>
      </c>
      <c r="W2" s="10">
        <v>17</v>
      </c>
      <c r="X2" s="10">
        <v>18</v>
      </c>
      <c r="Y2" s="10">
        <v>19</v>
      </c>
      <c r="Z2" s="10">
        <v>20</v>
      </c>
      <c r="AA2" s="10">
        <v>21</v>
      </c>
      <c r="AB2" s="10">
        <v>22</v>
      </c>
      <c r="AC2" s="10">
        <v>23</v>
      </c>
      <c r="AD2" s="10">
        <v>24</v>
      </c>
      <c r="AE2" s="10">
        <v>25</v>
      </c>
      <c r="AF2" s="10">
        <v>26</v>
      </c>
      <c r="AG2" s="10">
        <v>27</v>
      </c>
      <c r="AH2" s="10">
        <v>28</v>
      </c>
      <c r="AI2" s="10">
        <v>29</v>
      </c>
      <c r="AJ2" s="10">
        <v>30</v>
      </c>
      <c r="AL2" t="s">
        <v>2</v>
      </c>
      <c r="AM2" s="7">
        <f>'Inputs and Outputs'!B2</f>
        <v>5</v>
      </c>
      <c r="AP2" s="2"/>
    </row>
    <row r="3" spans="1:70" x14ac:dyDescent="0.2">
      <c r="A3" t="s">
        <v>28</v>
      </c>
      <c r="B3" s="22"/>
      <c r="E3" s="21">
        <v>3</v>
      </c>
      <c r="F3" s="3" t="s">
        <v>12</v>
      </c>
      <c r="G3" s="9">
        <f>'Inputs and Outputs'!E10</f>
        <v>0</v>
      </c>
      <c r="H3" s="9">
        <f>'Inputs and Outputs'!F10</f>
        <v>0</v>
      </c>
      <c r="I3" s="9">
        <f>'Inputs and Outputs'!G10</f>
        <v>0</v>
      </c>
      <c r="J3" s="9">
        <f>'Inputs and Outputs'!H10</f>
        <v>0</v>
      </c>
      <c r="K3" s="9">
        <f>'Inputs and Outputs'!I10</f>
        <v>0</v>
      </c>
      <c r="L3" s="9">
        <f>'Inputs and Outputs'!J10</f>
        <v>0</v>
      </c>
      <c r="M3" s="9">
        <f>'Inputs and Outputs'!K10</f>
        <v>0</v>
      </c>
      <c r="N3" s="9">
        <f>'Inputs and Outputs'!L10</f>
        <v>0</v>
      </c>
      <c r="O3" s="9">
        <f>'Inputs and Outputs'!M10</f>
        <v>0</v>
      </c>
      <c r="P3" s="9">
        <f>'Inputs and Outputs'!N10</f>
        <v>0</v>
      </c>
      <c r="Q3" s="9">
        <f>'Inputs and Outputs'!O10</f>
        <v>0</v>
      </c>
      <c r="R3" s="9">
        <f>'Inputs and Outputs'!P10</f>
        <v>0</v>
      </c>
      <c r="S3" s="9">
        <f>'Inputs and Outputs'!Q10</f>
        <v>0</v>
      </c>
      <c r="T3" s="9">
        <f>'Inputs and Outputs'!R10</f>
        <v>0</v>
      </c>
      <c r="U3" s="9">
        <f>'Inputs and Outputs'!S10</f>
        <v>0</v>
      </c>
      <c r="V3" s="9">
        <f>'Inputs and Outputs'!T10</f>
        <v>0</v>
      </c>
      <c r="W3" s="9">
        <f>'Inputs and Outputs'!U10</f>
        <v>5</v>
      </c>
      <c r="X3" s="9">
        <f>'Inputs and Outputs'!V10</f>
        <v>0</v>
      </c>
      <c r="Y3" s="9">
        <f>'Inputs and Outputs'!W10</f>
        <v>0</v>
      </c>
      <c r="Z3" s="9">
        <f>'Inputs and Outputs'!X10</f>
        <v>0</v>
      </c>
      <c r="AA3" s="9">
        <f>'Inputs and Outputs'!Y10</f>
        <v>0</v>
      </c>
      <c r="AB3" s="9">
        <f>'Inputs and Outputs'!Z10</f>
        <v>0</v>
      </c>
      <c r="AC3" s="9">
        <f>'Inputs and Outputs'!AA10</f>
        <v>0</v>
      </c>
      <c r="AD3" s="9">
        <f>'Inputs and Outputs'!AB10</f>
        <v>0</v>
      </c>
      <c r="AE3" s="9">
        <f>'Inputs and Outputs'!AC10</f>
        <v>0</v>
      </c>
      <c r="AF3" s="9">
        <f>'Inputs and Outputs'!AD10</f>
        <v>0</v>
      </c>
      <c r="AG3" s="9">
        <f>'Inputs and Outputs'!AE10</f>
        <v>0</v>
      </c>
      <c r="AH3" s="9">
        <f>'Inputs and Outputs'!AF10</f>
        <v>0</v>
      </c>
      <c r="AI3" s="9">
        <f>'Inputs and Outputs'!AG10</f>
        <v>0</v>
      </c>
      <c r="AJ3" s="9">
        <f>'Inputs and Outputs'!AH10</f>
        <v>0</v>
      </c>
      <c r="BR3" s="3"/>
    </row>
    <row r="4" spans="1:70" x14ac:dyDescent="0.2">
      <c r="A4" t="s">
        <v>29</v>
      </c>
      <c r="B4" s="4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</row>
    <row r="5" spans="1:70" x14ac:dyDescent="0.2">
      <c r="A5" t="s">
        <v>30</v>
      </c>
      <c r="B5" s="23"/>
      <c r="G5" s="10">
        <v>1</v>
      </c>
      <c r="H5" s="10">
        <v>2</v>
      </c>
      <c r="I5" s="10">
        <v>3</v>
      </c>
      <c r="J5" s="10">
        <v>4</v>
      </c>
      <c r="K5" s="10">
        <v>5</v>
      </c>
      <c r="L5" s="10">
        <v>6</v>
      </c>
      <c r="M5" s="10">
        <v>7</v>
      </c>
      <c r="N5" s="10">
        <v>8</v>
      </c>
      <c r="O5" s="10">
        <v>9</v>
      </c>
      <c r="P5" s="10">
        <v>10</v>
      </c>
      <c r="Q5" s="10">
        <v>11</v>
      </c>
      <c r="R5" s="10">
        <v>12</v>
      </c>
      <c r="S5" s="10">
        <v>13</v>
      </c>
      <c r="T5" s="10">
        <v>14</v>
      </c>
      <c r="U5" s="10">
        <v>15</v>
      </c>
      <c r="V5" s="10">
        <v>16</v>
      </c>
      <c r="W5" s="10">
        <v>17</v>
      </c>
      <c r="X5" s="10">
        <v>18</v>
      </c>
      <c r="Y5" s="10">
        <v>19</v>
      </c>
      <c r="Z5" s="10">
        <v>20</v>
      </c>
      <c r="AA5" s="10">
        <v>21</v>
      </c>
      <c r="AB5" s="10">
        <v>22</v>
      </c>
      <c r="AC5" s="10">
        <v>23</v>
      </c>
      <c r="AD5" s="10">
        <v>24</v>
      </c>
      <c r="AE5" s="10">
        <v>25</v>
      </c>
      <c r="AF5" s="10">
        <v>26</v>
      </c>
      <c r="AG5" s="10">
        <v>27</v>
      </c>
      <c r="AH5" s="10">
        <v>28</v>
      </c>
      <c r="AI5" s="10">
        <v>29</v>
      </c>
      <c r="AJ5" s="10">
        <v>30</v>
      </c>
      <c r="AK5" t="s">
        <v>21</v>
      </c>
    </row>
    <row r="6" spans="1:70" x14ac:dyDescent="0.2">
      <c r="F6" s="12" t="s">
        <v>14</v>
      </c>
      <c r="G6" s="13">
        <f>IF(AM2&gt;=1,1,0)</f>
        <v>1</v>
      </c>
      <c r="H6" s="13">
        <f t="shared" ref="H6:AJ6" si="1">IF(OR(G1=1,G1=2,G1=3,G1=4,G1=5,G1=6,G1=7,G1=8,G1=9,G1=10,G1=11,G1=12,G1=13,G1=14),1,0)</f>
        <v>0</v>
      </c>
      <c r="I6" s="13">
        <f t="shared" si="1"/>
        <v>0</v>
      </c>
      <c r="J6" s="13">
        <f t="shared" si="1"/>
        <v>0</v>
      </c>
      <c r="K6" s="13">
        <f t="shared" si="1"/>
        <v>0</v>
      </c>
      <c r="L6" s="13">
        <f t="shared" si="1"/>
        <v>1</v>
      </c>
      <c r="M6" s="13">
        <f t="shared" si="1"/>
        <v>0</v>
      </c>
      <c r="N6" s="13">
        <f t="shared" si="1"/>
        <v>0</v>
      </c>
      <c r="O6" s="13">
        <f t="shared" si="1"/>
        <v>0</v>
      </c>
      <c r="P6" s="13">
        <f t="shared" si="1"/>
        <v>0</v>
      </c>
      <c r="Q6" s="13">
        <f t="shared" si="1"/>
        <v>1</v>
      </c>
      <c r="R6" s="13">
        <f t="shared" si="1"/>
        <v>0</v>
      </c>
      <c r="S6" s="13">
        <f t="shared" si="1"/>
        <v>0</v>
      </c>
      <c r="T6" s="13">
        <f t="shared" si="1"/>
        <v>0</v>
      </c>
      <c r="U6" s="13">
        <f t="shared" si="1"/>
        <v>0</v>
      </c>
      <c r="V6" s="13">
        <f t="shared" si="1"/>
        <v>1</v>
      </c>
      <c r="W6" s="13">
        <f t="shared" si="1"/>
        <v>0</v>
      </c>
      <c r="X6" s="13">
        <f t="shared" si="1"/>
        <v>0</v>
      </c>
      <c r="Y6" s="13">
        <f t="shared" si="1"/>
        <v>0</v>
      </c>
      <c r="Z6" s="13">
        <f t="shared" si="1"/>
        <v>0</v>
      </c>
      <c r="AA6" s="13">
        <f t="shared" si="1"/>
        <v>1</v>
      </c>
      <c r="AB6" s="13">
        <f t="shared" si="1"/>
        <v>0</v>
      </c>
      <c r="AC6" s="13">
        <f t="shared" si="1"/>
        <v>0</v>
      </c>
      <c r="AD6" s="13">
        <f t="shared" si="1"/>
        <v>0</v>
      </c>
      <c r="AE6" s="13">
        <f t="shared" si="1"/>
        <v>0</v>
      </c>
      <c r="AF6" s="13">
        <f t="shared" si="1"/>
        <v>1</v>
      </c>
      <c r="AG6" s="13">
        <f t="shared" si="1"/>
        <v>0</v>
      </c>
      <c r="AH6" s="13">
        <f t="shared" si="1"/>
        <v>0</v>
      </c>
      <c r="AI6" s="13">
        <f t="shared" si="1"/>
        <v>0</v>
      </c>
      <c r="AJ6" s="13">
        <f t="shared" si="1"/>
        <v>0</v>
      </c>
      <c r="AL6" s="1">
        <f>SUM(G28:AH28)</f>
        <v>0</v>
      </c>
      <c r="AN6">
        <v>0</v>
      </c>
      <c r="AO6" s="18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</row>
    <row r="7" spans="1:70" x14ac:dyDescent="0.2">
      <c r="E7" t="s">
        <v>15</v>
      </c>
      <c r="F7" s="3" t="s">
        <v>12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5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0</v>
      </c>
      <c r="AK7">
        <f>SUMPRODUCT($G$6:$AJ$6,G7:AJ7)</f>
        <v>5</v>
      </c>
      <c r="AL7" s="6" t="s">
        <v>16</v>
      </c>
      <c r="AM7">
        <f>SUM(G3:AJ3)</f>
        <v>5</v>
      </c>
    </row>
    <row r="8" spans="1:70" x14ac:dyDescent="0.2">
      <c r="A8" s="11" t="s">
        <v>1</v>
      </c>
      <c r="B8" t="s">
        <v>4</v>
      </c>
      <c r="C8" t="s">
        <v>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</row>
    <row r="9" spans="1:70" x14ac:dyDescent="0.2">
      <c r="A9" s="16" t="s">
        <v>6</v>
      </c>
      <c r="B9" s="17">
        <v>1.25</v>
      </c>
      <c r="C9" s="18">
        <v>1</v>
      </c>
    </row>
    <row r="10" spans="1:70" x14ac:dyDescent="0.2">
      <c r="A10" s="16" t="s">
        <v>7</v>
      </c>
      <c r="B10" s="17">
        <v>5.99</v>
      </c>
      <c r="C10" s="18">
        <v>2</v>
      </c>
      <c r="F10" s="2" t="s">
        <v>20</v>
      </c>
      <c r="G10" s="2">
        <v>1</v>
      </c>
      <c r="H10" s="2">
        <v>2</v>
      </c>
      <c r="I10" s="2">
        <v>3</v>
      </c>
      <c r="J10" s="2">
        <v>4</v>
      </c>
      <c r="K10" s="2">
        <v>5</v>
      </c>
      <c r="L10" s="2">
        <v>6</v>
      </c>
      <c r="M10" s="2">
        <v>7</v>
      </c>
      <c r="N10" s="2">
        <v>8</v>
      </c>
      <c r="O10" s="2">
        <v>9</v>
      </c>
      <c r="P10" s="2">
        <v>10</v>
      </c>
      <c r="Q10" s="2">
        <v>11</v>
      </c>
      <c r="R10" s="2">
        <v>12</v>
      </c>
      <c r="S10" s="2">
        <v>13</v>
      </c>
      <c r="T10" s="2">
        <v>14</v>
      </c>
      <c r="U10" s="2">
        <v>15</v>
      </c>
      <c r="V10" s="2">
        <v>16</v>
      </c>
      <c r="W10" s="2">
        <v>17</v>
      </c>
      <c r="X10" s="2">
        <v>18</v>
      </c>
      <c r="Y10" s="2">
        <v>19</v>
      </c>
      <c r="Z10" s="2">
        <v>20</v>
      </c>
      <c r="AA10" s="2">
        <v>21</v>
      </c>
      <c r="AB10" s="2">
        <v>22</v>
      </c>
      <c r="AC10" s="2">
        <v>23</v>
      </c>
      <c r="AD10" s="2">
        <v>24</v>
      </c>
      <c r="AE10" s="2">
        <v>25</v>
      </c>
      <c r="AF10" s="2">
        <v>26</v>
      </c>
      <c r="AG10" s="2">
        <v>27</v>
      </c>
      <c r="AH10" s="2">
        <v>28</v>
      </c>
      <c r="AI10" s="2">
        <v>29</v>
      </c>
      <c r="AJ10" s="2">
        <v>30</v>
      </c>
    </row>
    <row r="11" spans="1:70" x14ac:dyDescent="0.2">
      <c r="A11" s="16" t="s">
        <v>8</v>
      </c>
      <c r="B11" s="17">
        <v>0.27</v>
      </c>
      <c r="C11" s="18">
        <v>1</v>
      </c>
      <c r="F11" s="3" t="s">
        <v>12</v>
      </c>
      <c r="G11">
        <v>0</v>
      </c>
      <c r="H11">
        <f t="shared" ref="H11:AJ11" si="2">IF(H15=0,0,IF(H19&gt;G19,G19-H3,IF(G11&gt;0,G11-1,0)))</f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0</v>
      </c>
      <c r="M11">
        <f t="shared" si="2"/>
        <v>0</v>
      </c>
      <c r="N11">
        <f t="shared" si="2"/>
        <v>0</v>
      </c>
      <c r="O11">
        <f t="shared" si="2"/>
        <v>0</v>
      </c>
      <c r="P11">
        <f t="shared" si="2"/>
        <v>0</v>
      </c>
      <c r="Q11">
        <f t="shared" si="2"/>
        <v>0</v>
      </c>
      <c r="R11">
        <f t="shared" si="2"/>
        <v>0</v>
      </c>
      <c r="S11">
        <f t="shared" si="2"/>
        <v>0</v>
      </c>
      <c r="T11">
        <f t="shared" si="2"/>
        <v>0</v>
      </c>
      <c r="U11">
        <f t="shared" si="2"/>
        <v>0</v>
      </c>
      <c r="V11">
        <f t="shared" si="2"/>
        <v>0</v>
      </c>
      <c r="W11">
        <f t="shared" si="2"/>
        <v>0</v>
      </c>
      <c r="X11">
        <f t="shared" si="2"/>
        <v>0</v>
      </c>
      <c r="Y11">
        <f t="shared" si="2"/>
        <v>0</v>
      </c>
      <c r="Z11">
        <f t="shared" si="2"/>
        <v>0</v>
      </c>
      <c r="AA11">
        <f t="shared" si="2"/>
        <v>0</v>
      </c>
      <c r="AB11">
        <f t="shared" si="2"/>
        <v>0</v>
      </c>
      <c r="AC11">
        <f t="shared" si="2"/>
        <v>0</v>
      </c>
      <c r="AD11">
        <f t="shared" si="2"/>
        <v>0</v>
      </c>
      <c r="AE11">
        <f t="shared" si="2"/>
        <v>0</v>
      </c>
      <c r="AF11">
        <f t="shared" si="2"/>
        <v>0</v>
      </c>
      <c r="AG11">
        <f t="shared" si="2"/>
        <v>0</v>
      </c>
      <c r="AH11">
        <f t="shared" si="2"/>
        <v>0</v>
      </c>
      <c r="AI11">
        <f t="shared" si="2"/>
        <v>0</v>
      </c>
      <c r="AJ11">
        <f t="shared" si="2"/>
        <v>0</v>
      </c>
    </row>
    <row r="12" spans="1:70" x14ac:dyDescent="0.2">
      <c r="A12" s="16" t="s">
        <v>9</v>
      </c>
      <c r="B12" s="17">
        <v>3.49</v>
      </c>
      <c r="C12" s="18">
        <v>6</v>
      </c>
      <c r="G12" s="14">
        <v>1</v>
      </c>
      <c r="H12" s="14">
        <v>2</v>
      </c>
      <c r="I12" s="14">
        <v>3</v>
      </c>
      <c r="J12" s="14">
        <v>4</v>
      </c>
      <c r="K12" s="14">
        <v>5</v>
      </c>
      <c r="L12" s="14">
        <v>6</v>
      </c>
      <c r="M12" s="14">
        <v>7</v>
      </c>
      <c r="N12" s="14">
        <v>8</v>
      </c>
      <c r="O12" s="14">
        <v>9</v>
      </c>
      <c r="P12" s="14">
        <v>10</v>
      </c>
      <c r="Q12" s="14">
        <v>11</v>
      </c>
      <c r="R12" s="14">
        <v>12</v>
      </c>
      <c r="S12" s="14">
        <v>13</v>
      </c>
      <c r="T12" s="14">
        <v>14</v>
      </c>
      <c r="U12" s="14">
        <v>15</v>
      </c>
      <c r="V12" s="14">
        <v>16</v>
      </c>
      <c r="W12" s="14">
        <v>17</v>
      </c>
      <c r="X12" s="14">
        <v>18</v>
      </c>
      <c r="Y12" s="14">
        <v>19</v>
      </c>
      <c r="Z12" s="14">
        <v>20</v>
      </c>
      <c r="AA12" s="14">
        <v>21</v>
      </c>
      <c r="AB12" s="14">
        <v>22</v>
      </c>
      <c r="AC12" s="14">
        <v>23</v>
      </c>
      <c r="AD12" s="14">
        <v>24</v>
      </c>
      <c r="AE12" s="14">
        <v>25</v>
      </c>
      <c r="AF12" s="14">
        <v>26</v>
      </c>
      <c r="AG12" s="14">
        <v>27</v>
      </c>
      <c r="AH12" s="14">
        <v>28</v>
      </c>
      <c r="AI12" s="14">
        <v>29</v>
      </c>
      <c r="AJ12" s="14">
        <v>30</v>
      </c>
    </row>
    <row r="13" spans="1:70" x14ac:dyDescent="0.2">
      <c r="A13" s="16" t="s">
        <v>10</v>
      </c>
      <c r="B13" s="17">
        <v>4.99</v>
      </c>
      <c r="C13" s="18">
        <v>5</v>
      </c>
      <c r="H13">
        <f t="shared" ref="H13:AJ13" ca="1" si="3">IF(H6=1,SUM(OFFSET(H3,0,0,1,$AM$2)),0)</f>
        <v>0</v>
      </c>
      <c r="I13">
        <f t="shared" ca="1" si="3"/>
        <v>0</v>
      </c>
      <c r="J13">
        <f t="shared" ca="1" si="3"/>
        <v>0</v>
      </c>
      <c r="K13">
        <f t="shared" ca="1" si="3"/>
        <v>0</v>
      </c>
      <c r="L13">
        <f t="shared" ca="1" si="3"/>
        <v>0</v>
      </c>
      <c r="M13">
        <f t="shared" ca="1" si="3"/>
        <v>0</v>
      </c>
      <c r="N13">
        <f t="shared" ca="1" si="3"/>
        <v>0</v>
      </c>
      <c r="O13">
        <f t="shared" ca="1" si="3"/>
        <v>0</v>
      </c>
      <c r="P13">
        <f t="shared" ca="1" si="3"/>
        <v>0</v>
      </c>
      <c r="Q13">
        <f t="shared" ca="1" si="3"/>
        <v>0</v>
      </c>
      <c r="R13">
        <f t="shared" ca="1" si="3"/>
        <v>0</v>
      </c>
      <c r="S13">
        <f t="shared" ca="1" si="3"/>
        <v>0</v>
      </c>
      <c r="T13">
        <f t="shared" ca="1" si="3"/>
        <v>0</v>
      </c>
      <c r="U13">
        <f t="shared" ca="1" si="3"/>
        <v>0</v>
      </c>
      <c r="V13">
        <f t="shared" ca="1" si="3"/>
        <v>5</v>
      </c>
      <c r="W13">
        <f t="shared" ca="1" si="3"/>
        <v>0</v>
      </c>
      <c r="X13">
        <f t="shared" ca="1" si="3"/>
        <v>0</v>
      </c>
      <c r="Y13">
        <f t="shared" ca="1" si="3"/>
        <v>0</v>
      </c>
      <c r="Z13">
        <f t="shared" ca="1" si="3"/>
        <v>0</v>
      </c>
      <c r="AA13">
        <f t="shared" ca="1" si="3"/>
        <v>0</v>
      </c>
      <c r="AB13">
        <f t="shared" ca="1" si="3"/>
        <v>0</v>
      </c>
      <c r="AC13">
        <f t="shared" ca="1" si="3"/>
        <v>0</v>
      </c>
      <c r="AD13">
        <f t="shared" ca="1" si="3"/>
        <v>0</v>
      </c>
      <c r="AE13">
        <f t="shared" ca="1" si="3"/>
        <v>0</v>
      </c>
      <c r="AF13">
        <f t="shared" ca="1" si="3"/>
        <v>0</v>
      </c>
      <c r="AG13">
        <f t="shared" ca="1" si="3"/>
        <v>0</v>
      </c>
      <c r="AH13">
        <f t="shared" ca="1" si="3"/>
        <v>0</v>
      </c>
      <c r="AI13">
        <f t="shared" ca="1" si="3"/>
        <v>0</v>
      </c>
      <c r="AJ13">
        <f t="shared" ca="1" si="3"/>
        <v>0</v>
      </c>
    </row>
    <row r="14" spans="1:70" x14ac:dyDescent="0.2">
      <c r="A14" s="16" t="s">
        <v>11</v>
      </c>
      <c r="B14" s="17">
        <v>4.99</v>
      </c>
      <c r="C14" s="18">
        <v>6</v>
      </c>
      <c r="F14" s="19" t="s">
        <v>22</v>
      </c>
      <c r="G14" s="2">
        <v>1</v>
      </c>
      <c r="H14" s="2">
        <v>2</v>
      </c>
      <c r="I14" s="2">
        <v>3</v>
      </c>
      <c r="J14" s="2">
        <v>4</v>
      </c>
      <c r="K14" s="2">
        <v>5</v>
      </c>
      <c r="L14" s="2">
        <v>6</v>
      </c>
      <c r="M14" s="2">
        <v>7</v>
      </c>
      <c r="N14" s="2">
        <v>8</v>
      </c>
      <c r="O14" s="2">
        <v>9</v>
      </c>
      <c r="P14" s="2">
        <v>10</v>
      </c>
      <c r="Q14" s="2">
        <v>11</v>
      </c>
      <c r="R14" s="2">
        <v>12</v>
      </c>
      <c r="S14" s="2">
        <v>13</v>
      </c>
      <c r="T14" s="2">
        <v>14</v>
      </c>
      <c r="U14" s="2">
        <v>15</v>
      </c>
      <c r="V14" s="2">
        <v>16</v>
      </c>
      <c r="W14" s="2">
        <v>17</v>
      </c>
      <c r="X14" s="2">
        <v>18</v>
      </c>
      <c r="Y14" s="2">
        <v>19</v>
      </c>
      <c r="Z14" s="2">
        <v>20</v>
      </c>
      <c r="AA14" s="2">
        <v>21</v>
      </c>
      <c r="AB14" s="2">
        <v>22</v>
      </c>
      <c r="AC14" s="2">
        <v>23</v>
      </c>
      <c r="AD14" s="2">
        <v>24</v>
      </c>
      <c r="AE14" s="2">
        <v>25</v>
      </c>
      <c r="AF14" s="2">
        <v>26</v>
      </c>
      <c r="AG14" s="2">
        <v>27</v>
      </c>
      <c r="AH14" s="2">
        <v>28</v>
      </c>
      <c r="AI14" s="2">
        <v>29</v>
      </c>
      <c r="AJ14" s="2">
        <v>30</v>
      </c>
    </row>
    <row r="15" spans="1:70" x14ac:dyDescent="0.2">
      <c r="A15" s="16" t="s">
        <v>12</v>
      </c>
      <c r="B15" s="17">
        <v>0.9</v>
      </c>
      <c r="C15" s="18">
        <v>1</v>
      </c>
      <c r="F15" s="3" t="s">
        <v>12</v>
      </c>
      <c r="G15">
        <v>0</v>
      </c>
      <c r="H15">
        <f t="shared" ref="H15:AJ15" si="4">IF(AND(H7&gt;0,G19-H3&gt;0),G22-1,G15-1)</f>
        <v>-1</v>
      </c>
      <c r="I15">
        <f t="shared" si="4"/>
        <v>-2</v>
      </c>
      <c r="J15">
        <f t="shared" si="4"/>
        <v>-3</v>
      </c>
      <c r="K15">
        <f t="shared" si="4"/>
        <v>-4</v>
      </c>
      <c r="L15">
        <f t="shared" si="4"/>
        <v>-5</v>
      </c>
      <c r="M15">
        <f t="shared" si="4"/>
        <v>-6</v>
      </c>
      <c r="N15">
        <f t="shared" si="4"/>
        <v>-7</v>
      </c>
      <c r="O15">
        <f t="shared" si="4"/>
        <v>-8</v>
      </c>
      <c r="P15">
        <f t="shared" si="4"/>
        <v>-9</v>
      </c>
      <c r="Q15">
        <f t="shared" si="4"/>
        <v>-10</v>
      </c>
      <c r="R15">
        <f t="shared" si="4"/>
        <v>-11</v>
      </c>
      <c r="S15">
        <f t="shared" si="4"/>
        <v>-12</v>
      </c>
      <c r="T15">
        <f t="shared" si="4"/>
        <v>-13</v>
      </c>
      <c r="U15">
        <f t="shared" si="4"/>
        <v>-14</v>
      </c>
      <c r="V15">
        <f t="shared" si="4"/>
        <v>-15</v>
      </c>
      <c r="W15">
        <f t="shared" si="4"/>
        <v>-16</v>
      </c>
      <c r="X15">
        <f t="shared" si="4"/>
        <v>-17</v>
      </c>
      <c r="Y15">
        <f t="shared" si="4"/>
        <v>-18</v>
      </c>
      <c r="Z15">
        <f t="shared" si="4"/>
        <v>-19</v>
      </c>
      <c r="AA15">
        <f t="shared" si="4"/>
        <v>-20</v>
      </c>
      <c r="AB15">
        <f t="shared" si="4"/>
        <v>-21</v>
      </c>
      <c r="AC15">
        <f t="shared" si="4"/>
        <v>-22</v>
      </c>
      <c r="AD15">
        <f t="shared" si="4"/>
        <v>-23</v>
      </c>
      <c r="AE15">
        <f t="shared" si="4"/>
        <v>-24</v>
      </c>
      <c r="AF15">
        <f t="shared" si="4"/>
        <v>-25</v>
      </c>
      <c r="AG15">
        <f t="shared" si="4"/>
        <v>-26</v>
      </c>
      <c r="AH15">
        <f t="shared" si="4"/>
        <v>-27</v>
      </c>
      <c r="AI15">
        <f t="shared" si="4"/>
        <v>-28</v>
      </c>
      <c r="AJ15">
        <f t="shared" si="4"/>
        <v>-29</v>
      </c>
    </row>
    <row r="16" spans="1:70" x14ac:dyDescent="0.2">
      <c r="A16" s="16" t="s">
        <v>13</v>
      </c>
      <c r="B16" s="17">
        <v>2.4900000000000002</v>
      </c>
      <c r="C16" s="18">
        <v>5</v>
      </c>
      <c r="F16" s="3"/>
    </row>
    <row r="17" spans="5:70" x14ac:dyDescent="0.2">
      <c r="F17" s="15" t="s">
        <v>17</v>
      </c>
    </row>
    <row r="18" spans="5:70" x14ac:dyDescent="0.2">
      <c r="F18" s="10" t="s">
        <v>18</v>
      </c>
      <c r="G18" s="2">
        <v>1</v>
      </c>
      <c r="H18" s="2">
        <v>2</v>
      </c>
      <c r="I18" s="2">
        <v>3</v>
      </c>
      <c r="J18" s="2">
        <v>4</v>
      </c>
      <c r="K18" s="2">
        <v>5</v>
      </c>
      <c r="L18" s="2">
        <v>6</v>
      </c>
      <c r="M18" s="2">
        <v>7</v>
      </c>
      <c r="N18" s="2">
        <v>8</v>
      </c>
      <c r="O18" s="2">
        <v>9</v>
      </c>
      <c r="P18" s="2">
        <v>10</v>
      </c>
      <c r="Q18" s="2">
        <v>11</v>
      </c>
      <c r="R18" s="2">
        <v>12</v>
      </c>
      <c r="S18" s="2">
        <v>13</v>
      </c>
      <c r="T18" s="2">
        <v>14</v>
      </c>
      <c r="U18" s="2">
        <v>15</v>
      </c>
      <c r="V18" s="2">
        <v>16</v>
      </c>
      <c r="W18" s="2">
        <v>17</v>
      </c>
      <c r="X18" s="2">
        <v>18</v>
      </c>
      <c r="Y18" s="2">
        <v>19</v>
      </c>
      <c r="Z18" s="2">
        <v>20</v>
      </c>
      <c r="AA18" s="2">
        <v>21</v>
      </c>
      <c r="AB18" s="2">
        <v>22</v>
      </c>
      <c r="AC18" s="2">
        <v>23</v>
      </c>
      <c r="AD18" s="2">
        <v>24</v>
      </c>
      <c r="AE18" s="2">
        <v>25</v>
      </c>
      <c r="AF18" s="2">
        <v>26</v>
      </c>
      <c r="AG18" s="2">
        <v>27</v>
      </c>
      <c r="AH18" s="2">
        <v>28</v>
      </c>
      <c r="AI18" s="2">
        <v>29</v>
      </c>
      <c r="AJ18" s="2">
        <v>30</v>
      </c>
    </row>
    <row r="19" spans="5:70" x14ac:dyDescent="0.2">
      <c r="F19" s="3" t="s">
        <v>12</v>
      </c>
      <c r="G19">
        <f>G25</f>
        <v>0</v>
      </c>
      <c r="H19">
        <f t="shared" ref="H19:AJ19" si="5">IF(H22=0,0-H3,G19+H25-H3)</f>
        <v>0</v>
      </c>
      <c r="I19">
        <f t="shared" si="5"/>
        <v>0</v>
      </c>
      <c r="J19">
        <f t="shared" si="5"/>
        <v>0</v>
      </c>
      <c r="K19">
        <f t="shared" si="5"/>
        <v>0</v>
      </c>
      <c r="L19">
        <f t="shared" si="5"/>
        <v>0</v>
      </c>
      <c r="M19">
        <f t="shared" si="5"/>
        <v>0</v>
      </c>
      <c r="N19">
        <f t="shared" si="5"/>
        <v>0</v>
      </c>
      <c r="O19">
        <f t="shared" si="5"/>
        <v>0</v>
      </c>
      <c r="P19">
        <f t="shared" si="5"/>
        <v>0</v>
      </c>
      <c r="Q19">
        <f t="shared" si="5"/>
        <v>0</v>
      </c>
      <c r="R19">
        <f t="shared" si="5"/>
        <v>0</v>
      </c>
      <c r="S19">
        <f t="shared" si="5"/>
        <v>0</v>
      </c>
      <c r="T19">
        <f t="shared" si="5"/>
        <v>0</v>
      </c>
      <c r="U19">
        <f t="shared" si="5"/>
        <v>0</v>
      </c>
      <c r="V19">
        <f t="shared" si="5"/>
        <v>5</v>
      </c>
      <c r="W19">
        <f t="shared" si="5"/>
        <v>0</v>
      </c>
      <c r="X19">
        <f t="shared" si="5"/>
        <v>0</v>
      </c>
      <c r="Y19">
        <f t="shared" si="5"/>
        <v>0</v>
      </c>
      <c r="Z19">
        <f t="shared" si="5"/>
        <v>0</v>
      </c>
      <c r="AA19">
        <f t="shared" si="5"/>
        <v>0</v>
      </c>
      <c r="AB19">
        <f t="shared" si="5"/>
        <v>0</v>
      </c>
      <c r="AC19">
        <f t="shared" si="5"/>
        <v>0</v>
      </c>
      <c r="AD19">
        <f t="shared" si="5"/>
        <v>0</v>
      </c>
      <c r="AE19">
        <f t="shared" si="5"/>
        <v>0</v>
      </c>
      <c r="AF19">
        <f t="shared" si="5"/>
        <v>0</v>
      </c>
      <c r="AG19">
        <f t="shared" si="5"/>
        <v>0</v>
      </c>
      <c r="AH19">
        <f t="shared" si="5"/>
        <v>0</v>
      </c>
      <c r="AI19">
        <f t="shared" si="5"/>
        <v>0</v>
      </c>
      <c r="AJ19">
        <f t="shared" si="5"/>
        <v>0</v>
      </c>
      <c r="BR19" s="3"/>
    </row>
    <row r="21" spans="5:70" x14ac:dyDescent="0.2">
      <c r="F21" s="10" t="s">
        <v>23</v>
      </c>
      <c r="G21" s="2">
        <v>1</v>
      </c>
      <c r="H21" s="2">
        <v>2</v>
      </c>
      <c r="I21" s="2">
        <v>3</v>
      </c>
      <c r="J21" s="2">
        <v>4</v>
      </c>
      <c r="K21" s="2">
        <v>5</v>
      </c>
      <c r="L21" s="2">
        <v>6</v>
      </c>
      <c r="M21" s="2">
        <v>7</v>
      </c>
      <c r="N21" s="2">
        <v>8</v>
      </c>
      <c r="O21" s="2">
        <v>9</v>
      </c>
      <c r="P21" s="2">
        <v>10</v>
      </c>
      <c r="Q21" s="2">
        <v>11</v>
      </c>
      <c r="R21" s="2">
        <v>12</v>
      </c>
      <c r="S21" s="2">
        <v>13</v>
      </c>
      <c r="T21" s="2">
        <v>14</v>
      </c>
      <c r="U21" s="2">
        <v>15</v>
      </c>
      <c r="V21" s="2">
        <v>16</v>
      </c>
      <c r="W21" s="2">
        <v>17</v>
      </c>
      <c r="X21" s="2">
        <v>18</v>
      </c>
      <c r="Y21" s="2">
        <v>19</v>
      </c>
      <c r="Z21" s="2">
        <v>20</v>
      </c>
      <c r="AA21" s="2">
        <v>21</v>
      </c>
      <c r="AB21" s="2">
        <v>22</v>
      </c>
      <c r="AC21" s="2">
        <v>23</v>
      </c>
      <c r="AD21" s="2">
        <v>24</v>
      </c>
      <c r="AE21" s="2">
        <v>25</v>
      </c>
      <c r="AF21" s="2">
        <v>26</v>
      </c>
      <c r="AG21" s="2">
        <v>27</v>
      </c>
      <c r="AH21" s="2">
        <v>28</v>
      </c>
      <c r="AI21" s="2">
        <v>29</v>
      </c>
      <c r="AJ21" s="2">
        <v>30</v>
      </c>
    </row>
    <row r="22" spans="5:70" x14ac:dyDescent="0.2">
      <c r="F22" s="3" t="s">
        <v>12</v>
      </c>
      <c r="G22">
        <f>IF(G7&gt;0,E3,0)</f>
        <v>0</v>
      </c>
      <c r="H22">
        <f t="shared" ref="H22:AJ22" si="6">IF(H7=0,G22-1,$E3)</f>
        <v>-1</v>
      </c>
      <c r="I22">
        <f t="shared" si="6"/>
        <v>-2</v>
      </c>
      <c r="J22">
        <f t="shared" si="6"/>
        <v>-3</v>
      </c>
      <c r="K22">
        <f t="shared" si="6"/>
        <v>-4</v>
      </c>
      <c r="L22">
        <f t="shared" si="6"/>
        <v>-5</v>
      </c>
      <c r="M22">
        <f t="shared" si="6"/>
        <v>-6</v>
      </c>
      <c r="N22">
        <f t="shared" si="6"/>
        <v>-7</v>
      </c>
      <c r="O22">
        <f t="shared" si="6"/>
        <v>-8</v>
      </c>
      <c r="P22">
        <f t="shared" si="6"/>
        <v>-9</v>
      </c>
      <c r="Q22">
        <f t="shared" si="6"/>
        <v>-10</v>
      </c>
      <c r="R22">
        <f t="shared" si="6"/>
        <v>-11</v>
      </c>
      <c r="S22">
        <f t="shared" si="6"/>
        <v>-12</v>
      </c>
      <c r="T22">
        <f t="shared" si="6"/>
        <v>-13</v>
      </c>
      <c r="U22">
        <f t="shared" si="6"/>
        <v>-14</v>
      </c>
      <c r="V22">
        <f t="shared" si="6"/>
        <v>3</v>
      </c>
      <c r="W22">
        <f t="shared" si="6"/>
        <v>2</v>
      </c>
      <c r="X22">
        <f t="shared" si="6"/>
        <v>1</v>
      </c>
      <c r="Y22">
        <f t="shared" si="6"/>
        <v>0</v>
      </c>
      <c r="Z22">
        <f t="shared" si="6"/>
        <v>-1</v>
      </c>
      <c r="AA22">
        <f t="shared" si="6"/>
        <v>-2</v>
      </c>
      <c r="AB22">
        <f t="shared" si="6"/>
        <v>-3</v>
      </c>
      <c r="AC22">
        <f t="shared" si="6"/>
        <v>-4</v>
      </c>
      <c r="AD22">
        <f t="shared" si="6"/>
        <v>-5</v>
      </c>
      <c r="AE22">
        <f t="shared" si="6"/>
        <v>-6</v>
      </c>
      <c r="AF22">
        <f t="shared" si="6"/>
        <v>-7</v>
      </c>
      <c r="AG22">
        <f t="shared" si="6"/>
        <v>-8</v>
      </c>
      <c r="AH22">
        <f t="shared" si="6"/>
        <v>-9</v>
      </c>
      <c r="AI22">
        <f t="shared" si="6"/>
        <v>-10</v>
      </c>
      <c r="AJ22">
        <f t="shared" si="6"/>
        <v>-11</v>
      </c>
    </row>
    <row r="23" spans="5:70" x14ac:dyDescent="0.2">
      <c r="F23" s="3"/>
    </row>
    <row r="24" spans="5:70" x14ac:dyDescent="0.2">
      <c r="F24" s="10" t="s">
        <v>19</v>
      </c>
      <c r="G24" s="2">
        <v>1</v>
      </c>
      <c r="H24" s="2">
        <v>2</v>
      </c>
      <c r="I24" s="2">
        <v>3</v>
      </c>
      <c r="J24" s="2">
        <v>4</v>
      </c>
      <c r="K24" s="2">
        <v>5</v>
      </c>
      <c r="L24" s="2">
        <v>6</v>
      </c>
      <c r="M24" s="2">
        <v>7</v>
      </c>
      <c r="N24" s="2">
        <v>8</v>
      </c>
      <c r="O24" s="2">
        <v>9</v>
      </c>
      <c r="P24" s="2">
        <v>10</v>
      </c>
      <c r="Q24" s="2">
        <v>11</v>
      </c>
      <c r="R24" s="2">
        <v>12</v>
      </c>
      <c r="S24" s="2">
        <v>13</v>
      </c>
      <c r="T24" s="2">
        <v>14</v>
      </c>
      <c r="U24" s="2">
        <v>15</v>
      </c>
      <c r="V24" s="2">
        <v>16</v>
      </c>
      <c r="W24" s="2">
        <v>17</v>
      </c>
      <c r="X24" s="2">
        <v>18</v>
      </c>
      <c r="Y24" s="2">
        <v>19</v>
      </c>
      <c r="Z24" s="2">
        <v>20</v>
      </c>
      <c r="AA24" s="2">
        <v>21</v>
      </c>
      <c r="AB24" s="2">
        <v>22</v>
      </c>
      <c r="AC24" s="2">
        <v>23</v>
      </c>
      <c r="AD24" s="2">
        <v>24</v>
      </c>
      <c r="AE24" s="2">
        <v>25</v>
      </c>
      <c r="AF24" s="2">
        <v>26</v>
      </c>
      <c r="AG24" s="2">
        <v>27</v>
      </c>
      <c r="AH24" s="2">
        <v>28</v>
      </c>
      <c r="AI24" s="2">
        <v>29</v>
      </c>
      <c r="AJ24" s="2">
        <v>30</v>
      </c>
      <c r="BO24" s="14"/>
      <c r="BP24" s="14"/>
      <c r="BQ24" s="14"/>
      <c r="BR24" s="3"/>
    </row>
    <row r="25" spans="5:70" x14ac:dyDescent="0.2">
      <c r="F25" s="3" t="s">
        <v>12</v>
      </c>
      <c r="G25">
        <f t="shared" ref="G25:AJ25" si="7">G7*$C9</f>
        <v>0</v>
      </c>
      <c r="H25">
        <f t="shared" si="7"/>
        <v>0</v>
      </c>
      <c r="I25">
        <f t="shared" si="7"/>
        <v>0</v>
      </c>
      <c r="J25">
        <f t="shared" si="7"/>
        <v>0</v>
      </c>
      <c r="K25">
        <f t="shared" si="7"/>
        <v>0</v>
      </c>
      <c r="L25">
        <f t="shared" si="7"/>
        <v>0</v>
      </c>
      <c r="M25">
        <f t="shared" si="7"/>
        <v>0</v>
      </c>
      <c r="N25">
        <f t="shared" si="7"/>
        <v>0</v>
      </c>
      <c r="O25">
        <f t="shared" si="7"/>
        <v>0</v>
      </c>
      <c r="P25">
        <f t="shared" si="7"/>
        <v>0</v>
      </c>
      <c r="Q25">
        <f t="shared" si="7"/>
        <v>0</v>
      </c>
      <c r="R25">
        <f t="shared" si="7"/>
        <v>0</v>
      </c>
      <c r="S25">
        <f t="shared" si="7"/>
        <v>0</v>
      </c>
      <c r="T25">
        <f t="shared" si="7"/>
        <v>0</v>
      </c>
      <c r="U25">
        <f t="shared" si="7"/>
        <v>0</v>
      </c>
      <c r="V25">
        <f t="shared" si="7"/>
        <v>5</v>
      </c>
      <c r="W25">
        <f t="shared" si="7"/>
        <v>0</v>
      </c>
      <c r="X25">
        <f t="shared" si="7"/>
        <v>0</v>
      </c>
      <c r="Y25">
        <f t="shared" si="7"/>
        <v>0</v>
      </c>
      <c r="Z25">
        <f t="shared" si="7"/>
        <v>0</v>
      </c>
      <c r="AA25">
        <f t="shared" si="7"/>
        <v>0</v>
      </c>
      <c r="AB25">
        <f t="shared" si="7"/>
        <v>0</v>
      </c>
      <c r="AC25">
        <f t="shared" si="7"/>
        <v>0</v>
      </c>
      <c r="AD25">
        <f t="shared" si="7"/>
        <v>0</v>
      </c>
      <c r="AE25">
        <f t="shared" si="7"/>
        <v>0</v>
      </c>
      <c r="AF25">
        <f t="shared" si="7"/>
        <v>0</v>
      </c>
      <c r="AG25">
        <f t="shared" si="7"/>
        <v>0</v>
      </c>
      <c r="AH25">
        <f t="shared" si="7"/>
        <v>0</v>
      </c>
      <c r="AI25">
        <f t="shared" si="7"/>
        <v>0</v>
      </c>
      <c r="AJ25">
        <f t="shared" si="7"/>
        <v>0</v>
      </c>
      <c r="BR25" s="3"/>
    </row>
    <row r="26" spans="5:70" x14ac:dyDescent="0.2">
      <c r="F26" s="3"/>
      <c r="BR26" s="3"/>
    </row>
    <row r="27" spans="5:70" x14ac:dyDescent="0.2">
      <c r="F27" s="10" t="s">
        <v>24</v>
      </c>
      <c r="G27" s="2">
        <v>1</v>
      </c>
      <c r="H27" s="2">
        <v>2</v>
      </c>
      <c r="I27" s="2">
        <v>3</v>
      </c>
      <c r="J27" s="2">
        <v>4</v>
      </c>
      <c r="K27" s="2">
        <v>5</v>
      </c>
      <c r="L27" s="2">
        <v>6</v>
      </c>
      <c r="M27" s="2">
        <v>7</v>
      </c>
      <c r="N27" s="2">
        <v>8</v>
      </c>
      <c r="O27" s="2">
        <v>9</v>
      </c>
      <c r="P27" s="2">
        <v>10</v>
      </c>
      <c r="Q27" s="2">
        <v>11</v>
      </c>
      <c r="R27" s="2">
        <v>12</v>
      </c>
      <c r="S27" s="2">
        <v>13</v>
      </c>
      <c r="T27" s="2">
        <v>14</v>
      </c>
      <c r="U27" s="2">
        <v>15</v>
      </c>
      <c r="V27" s="2">
        <v>16</v>
      </c>
      <c r="W27" s="2">
        <v>17</v>
      </c>
      <c r="X27" s="2">
        <v>18</v>
      </c>
      <c r="Y27" s="2">
        <v>19</v>
      </c>
      <c r="Z27" s="2">
        <v>20</v>
      </c>
      <c r="AA27" s="2">
        <v>21</v>
      </c>
      <c r="AB27" s="2">
        <v>22</v>
      </c>
      <c r="AC27" s="2">
        <v>23</v>
      </c>
      <c r="AD27" s="2">
        <v>24</v>
      </c>
      <c r="AE27" s="2">
        <v>25</v>
      </c>
      <c r="AF27" s="2">
        <v>26</v>
      </c>
      <c r="AG27" s="2">
        <v>27</v>
      </c>
      <c r="AH27" s="2">
        <v>28</v>
      </c>
      <c r="AI27" s="2">
        <v>29</v>
      </c>
      <c r="AJ27" s="2">
        <v>30</v>
      </c>
      <c r="BR27" s="3"/>
    </row>
    <row r="28" spans="5:70" x14ac:dyDescent="0.2">
      <c r="F28" s="3" t="s">
        <v>12</v>
      </c>
      <c r="G28">
        <v>0</v>
      </c>
      <c r="H28">
        <f t="shared" ref="H28:AJ28" si="8">IF(H15=0,IF(H22=0, H19, IF(G11-H3&lt;0,0,G11-H3)),IF(H22=0,IF(G19-H3&lt;0,0,G19-H3),0))</f>
        <v>0</v>
      </c>
      <c r="I28">
        <f t="shared" si="8"/>
        <v>0</v>
      </c>
      <c r="J28">
        <f t="shared" si="8"/>
        <v>0</v>
      </c>
      <c r="K28">
        <f t="shared" si="8"/>
        <v>0</v>
      </c>
      <c r="L28">
        <f t="shared" si="8"/>
        <v>0</v>
      </c>
      <c r="M28">
        <f t="shared" si="8"/>
        <v>0</v>
      </c>
      <c r="N28">
        <f t="shared" si="8"/>
        <v>0</v>
      </c>
      <c r="O28">
        <f t="shared" si="8"/>
        <v>0</v>
      </c>
      <c r="P28">
        <f t="shared" si="8"/>
        <v>0</v>
      </c>
      <c r="Q28">
        <f t="shared" si="8"/>
        <v>0</v>
      </c>
      <c r="R28">
        <f t="shared" si="8"/>
        <v>0</v>
      </c>
      <c r="S28">
        <f t="shared" si="8"/>
        <v>0</v>
      </c>
      <c r="T28">
        <f t="shared" si="8"/>
        <v>0</v>
      </c>
      <c r="U28">
        <f t="shared" si="8"/>
        <v>0</v>
      </c>
      <c r="V28">
        <f t="shared" si="8"/>
        <v>0</v>
      </c>
      <c r="W28">
        <f t="shared" si="8"/>
        <v>0</v>
      </c>
      <c r="X28">
        <f t="shared" si="8"/>
        <v>0</v>
      </c>
      <c r="Y28">
        <f t="shared" si="8"/>
        <v>0</v>
      </c>
      <c r="Z28">
        <f t="shared" si="8"/>
        <v>0</v>
      </c>
      <c r="AA28">
        <f t="shared" si="8"/>
        <v>0</v>
      </c>
      <c r="AB28">
        <f t="shared" si="8"/>
        <v>0</v>
      </c>
      <c r="AC28">
        <f t="shared" si="8"/>
        <v>0</v>
      </c>
      <c r="AD28">
        <f t="shared" si="8"/>
        <v>0</v>
      </c>
      <c r="AE28">
        <f t="shared" si="8"/>
        <v>0</v>
      </c>
      <c r="AF28">
        <f t="shared" si="8"/>
        <v>0</v>
      </c>
      <c r="AG28">
        <f t="shared" si="8"/>
        <v>0</v>
      </c>
      <c r="AH28">
        <f t="shared" si="8"/>
        <v>0</v>
      </c>
      <c r="AI28">
        <f t="shared" si="8"/>
        <v>0</v>
      </c>
      <c r="AJ28">
        <f t="shared" si="8"/>
        <v>0</v>
      </c>
      <c r="BR28" s="3"/>
    </row>
    <row r="29" spans="5:70" x14ac:dyDescent="0.2">
      <c r="E29" s="3" t="s">
        <v>12</v>
      </c>
      <c r="F29">
        <v>1</v>
      </c>
      <c r="G29">
        <f>G$6</f>
        <v>1</v>
      </c>
      <c r="AK29">
        <f t="shared" ref="AK29:AK58" si="9">SUMPRODUCT($G$7:$AJ$7,G29:AJ29)</f>
        <v>0</v>
      </c>
      <c r="AL29" t="s">
        <v>16</v>
      </c>
      <c r="AM29">
        <f ca="1">IF(G6=1,SUM(OFFSET(G3,0,0,1,$AM$2)),0)</f>
        <v>0</v>
      </c>
      <c r="BR29" s="3"/>
    </row>
    <row r="30" spans="5:70" x14ac:dyDescent="0.2">
      <c r="F30">
        <v>2</v>
      </c>
      <c r="H30">
        <v>1</v>
      </c>
      <c r="AK30">
        <f t="shared" si="9"/>
        <v>0</v>
      </c>
      <c r="AL30" t="s">
        <v>16</v>
      </c>
      <c r="AM30">
        <f ca="1">H13</f>
        <v>0</v>
      </c>
      <c r="BR30" s="3"/>
    </row>
    <row r="31" spans="5:70" x14ac:dyDescent="0.2">
      <c r="F31">
        <v>3</v>
      </c>
      <c r="I31">
        <v>1</v>
      </c>
      <c r="AK31">
        <f t="shared" si="9"/>
        <v>0</v>
      </c>
      <c r="AL31" t="s">
        <v>16</v>
      </c>
      <c r="AM31">
        <f ca="1">I13</f>
        <v>0</v>
      </c>
      <c r="BR31" s="3"/>
    </row>
    <row r="32" spans="5:70" x14ac:dyDescent="0.2">
      <c r="F32">
        <v>4</v>
      </c>
      <c r="J32">
        <v>1</v>
      </c>
      <c r="AK32">
        <f t="shared" si="9"/>
        <v>0</v>
      </c>
      <c r="AL32" t="s">
        <v>16</v>
      </c>
      <c r="AM32">
        <f ca="1">J13</f>
        <v>0</v>
      </c>
      <c r="BR32" s="3"/>
    </row>
    <row r="33" spans="6:70" ht="15.5" x14ac:dyDescent="0.2">
      <c r="F33">
        <v>5</v>
      </c>
      <c r="K33">
        <v>1</v>
      </c>
      <c r="AK33">
        <f t="shared" si="9"/>
        <v>0</v>
      </c>
      <c r="AL33" t="s">
        <v>16</v>
      </c>
      <c r="AM33">
        <f ca="1">K13</f>
        <v>0</v>
      </c>
    </row>
    <row r="34" spans="6:70" ht="15.5" x14ac:dyDescent="0.2">
      <c r="F34">
        <v>6</v>
      </c>
      <c r="L34">
        <v>1</v>
      </c>
      <c r="AK34">
        <f t="shared" si="9"/>
        <v>0</v>
      </c>
      <c r="AL34" t="s">
        <v>16</v>
      </c>
      <c r="AM34">
        <f ca="1">L13</f>
        <v>0</v>
      </c>
    </row>
    <row r="35" spans="6:70" x14ac:dyDescent="0.2">
      <c r="F35">
        <v>7</v>
      </c>
      <c r="M35">
        <v>1</v>
      </c>
      <c r="AK35">
        <f t="shared" si="9"/>
        <v>0</v>
      </c>
      <c r="AL35" t="s">
        <v>16</v>
      </c>
      <c r="AM35">
        <f ca="1">M13</f>
        <v>0</v>
      </c>
      <c r="BR35" s="3"/>
    </row>
    <row r="36" spans="6:70" x14ac:dyDescent="0.2">
      <c r="F36">
        <v>8</v>
      </c>
      <c r="N36">
        <f>N$6</f>
        <v>0</v>
      </c>
      <c r="AK36">
        <f t="shared" si="9"/>
        <v>0</v>
      </c>
      <c r="AL36" t="s">
        <v>16</v>
      </c>
      <c r="AM36">
        <f ca="1">N13</f>
        <v>0</v>
      </c>
      <c r="BR36" s="3"/>
    </row>
    <row r="37" spans="6:70" x14ac:dyDescent="0.2">
      <c r="F37">
        <v>9</v>
      </c>
      <c r="O37">
        <v>1</v>
      </c>
      <c r="AK37">
        <f t="shared" si="9"/>
        <v>0</v>
      </c>
      <c r="AL37" t="s">
        <v>16</v>
      </c>
      <c r="AM37">
        <f ca="1">O13</f>
        <v>0</v>
      </c>
      <c r="BR37" s="3"/>
    </row>
    <row r="38" spans="6:70" x14ac:dyDescent="0.2">
      <c r="F38">
        <v>10</v>
      </c>
      <c r="P38">
        <v>1</v>
      </c>
      <c r="AK38">
        <f t="shared" si="9"/>
        <v>0</v>
      </c>
      <c r="AL38" t="s">
        <v>16</v>
      </c>
      <c r="AM38">
        <f ca="1">P13</f>
        <v>0</v>
      </c>
      <c r="BR38" s="3"/>
    </row>
    <row r="39" spans="6:70" x14ac:dyDescent="0.2">
      <c r="F39">
        <v>11</v>
      </c>
      <c r="Q39">
        <v>1</v>
      </c>
      <c r="AK39">
        <f t="shared" si="9"/>
        <v>0</v>
      </c>
      <c r="AL39" t="s">
        <v>16</v>
      </c>
      <c r="AM39">
        <f ca="1">Q13</f>
        <v>0</v>
      </c>
      <c r="BR39" s="3"/>
    </row>
    <row r="40" spans="6:70" x14ac:dyDescent="0.2">
      <c r="F40">
        <v>12</v>
      </c>
      <c r="R40">
        <v>1</v>
      </c>
      <c r="AK40">
        <f t="shared" si="9"/>
        <v>0</v>
      </c>
      <c r="AL40" t="s">
        <v>16</v>
      </c>
      <c r="AM40">
        <f ca="1">R13</f>
        <v>0</v>
      </c>
      <c r="BR40" s="3"/>
    </row>
    <row r="41" spans="6:70" x14ac:dyDescent="0.2">
      <c r="F41">
        <v>13</v>
      </c>
      <c r="S41">
        <v>1</v>
      </c>
      <c r="AK41">
        <f t="shared" si="9"/>
        <v>0</v>
      </c>
      <c r="AL41" t="s">
        <v>16</v>
      </c>
      <c r="AM41">
        <f ca="1">S13</f>
        <v>0</v>
      </c>
      <c r="BR41" s="3"/>
    </row>
    <row r="42" spans="6:70" ht="15.5" x14ac:dyDescent="0.2">
      <c r="F42">
        <v>14</v>
      </c>
      <c r="T42">
        <v>1</v>
      </c>
      <c r="AK42">
        <f t="shared" si="9"/>
        <v>0</v>
      </c>
      <c r="AL42" t="s">
        <v>16</v>
      </c>
      <c r="AM42">
        <f ca="1">T13</f>
        <v>0</v>
      </c>
    </row>
    <row r="43" spans="6:70" ht="15.5" x14ac:dyDescent="0.2">
      <c r="F43">
        <v>15</v>
      </c>
      <c r="U43">
        <f>U$6</f>
        <v>0</v>
      </c>
      <c r="AK43">
        <f t="shared" si="9"/>
        <v>0</v>
      </c>
      <c r="AL43" t="s">
        <v>16</v>
      </c>
      <c r="AM43">
        <f ca="1">U13</f>
        <v>0</v>
      </c>
    </row>
    <row r="44" spans="6:70" ht="15.5" x14ac:dyDescent="0.2">
      <c r="F44">
        <v>16</v>
      </c>
      <c r="V44">
        <v>1</v>
      </c>
      <c r="AK44">
        <f t="shared" si="9"/>
        <v>5</v>
      </c>
      <c r="AL44" t="s">
        <v>16</v>
      </c>
      <c r="AM44">
        <f ca="1">V13</f>
        <v>5</v>
      </c>
    </row>
    <row r="45" spans="6:70" x14ac:dyDescent="0.2">
      <c r="F45">
        <v>17</v>
      </c>
      <c r="W45">
        <v>1</v>
      </c>
      <c r="AK45">
        <f t="shared" si="9"/>
        <v>0</v>
      </c>
      <c r="AL45" t="s">
        <v>16</v>
      </c>
      <c r="AM45">
        <f ca="1">W13</f>
        <v>0</v>
      </c>
      <c r="BR45" s="3"/>
    </row>
    <row r="46" spans="6:70" x14ac:dyDescent="0.2">
      <c r="F46">
        <v>18</v>
      </c>
      <c r="X46">
        <v>1</v>
      </c>
      <c r="AK46">
        <f t="shared" si="9"/>
        <v>0</v>
      </c>
      <c r="AL46" t="s">
        <v>16</v>
      </c>
      <c r="AM46">
        <f ca="1">X13</f>
        <v>0</v>
      </c>
      <c r="BR46" s="3"/>
    </row>
    <row r="47" spans="6:70" x14ac:dyDescent="0.2">
      <c r="F47">
        <v>19</v>
      </c>
      <c r="Y47">
        <v>1</v>
      </c>
      <c r="AK47">
        <f t="shared" si="9"/>
        <v>0</v>
      </c>
      <c r="AL47" t="s">
        <v>16</v>
      </c>
      <c r="AM47">
        <f ca="1">Y13</f>
        <v>0</v>
      </c>
      <c r="BR47" s="3"/>
    </row>
    <row r="48" spans="6:70" x14ac:dyDescent="0.2">
      <c r="F48">
        <v>20</v>
      </c>
      <c r="Z48">
        <v>1</v>
      </c>
      <c r="AK48">
        <f t="shared" si="9"/>
        <v>0</v>
      </c>
      <c r="AL48" t="s">
        <v>16</v>
      </c>
      <c r="AM48">
        <f ca="1">Z13</f>
        <v>0</v>
      </c>
      <c r="BR48" s="3"/>
    </row>
    <row r="49" spans="6:70" x14ac:dyDescent="0.2">
      <c r="F49">
        <v>21</v>
      </c>
      <c r="AA49">
        <v>1</v>
      </c>
      <c r="AK49">
        <f t="shared" si="9"/>
        <v>0</v>
      </c>
      <c r="AL49" t="s">
        <v>16</v>
      </c>
      <c r="AM49">
        <f ca="1">AA13</f>
        <v>0</v>
      </c>
      <c r="BR49" s="3"/>
    </row>
    <row r="50" spans="6:70" x14ac:dyDescent="0.2">
      <c r="F50">
        <v>22</v>
      </c>
      <c r="AB50">
        <f>AB$6</f>
        <v>0</v>
      </c>
      <c r="AK50">
        <f t="shared" si="9"/>
        <v>0</v>
      </c>
      <c r="AL50" t="s">
        <v>16</v>
      </c>
      <c r="AM50">
        <f ca="1">AB13</f>
        <v>0</v>
      </c>
      <c r="BR50" s="3"/>
    </row>
    <row r="51" spans="6:70" x14ac:dyDescent="0.2">
      <c r="F51">
        <v>23</v>
      </c>
      <c r="AC51">
        <v>1</v>
      </c>
      <c r="AK51">
        <f t="shared" si="9"/>
        <v>0</v>
      </c>
      <c r="AL51" t="s">
        <v>16</v>
      </c>
      <c r="AM51">
        <f ca="1">AC13</f>
        <v>0</v>
      </c>
      <c r="BR51" s="3"/>
    </row>
    <row r="52" spans="6:70" ht="15.5" x14ac:dyDescent="0.2">
      <c r="F52">
        <v>24</v>
      </c>
      <c r="AD52">
        <v>1</v>
      </c>
      <c r="AK52">
        <f t="shared" si="9"/>
        <v>0</v>
      </c>
      <c r="AL52" t="s">
        <v>16</v>
      </c>
      <c r="AM52">
        <f ca="1">AD13</f>
        <v>0</v>
      </c>
    </row>
    <row r="53" spans="6:70" x14ac:dyDescent="0.2">
      <c r="F53">
        <v>25</v>
      </c>
      <c r="AE53">
        <v>1</v>
      </c>
      <c r="AK53">
        <f t="shared" si="9"/>
        <v>0</v>
      </c>
      <c r="AL53" t="s">
        <v>16</v>
      </c>
      <c r="AM53">
        <f ca="1">AE13</f>
        <v>0</v>
      </c>
    </row>
    <row r="54" spans="6:70" x14ac:dyDescent="0.2">
      <c r="F54">
        <v>26</v>
      </c>
      <c r="AF54">
        <v>1</v>
      </c>
      <c r="AK54">
        <f t="shared" si="9"/>
        <v>0</v>
      </c>
      <c r="AL54" t="s">
        <v>16</v>
      </c>
      <c r="AM54">
        <f ca="1">AF13</f>
        <v>0</v>
      </c>
    </row>
    <row r="55" spans="6:70" x14ac:dyDescent="0.2">
      <c r="F55">
        <v>27</v>
      </c>
      <c r="AG55">
        <v>1</v>
      </c>
      <c r="AK55">
        <f t="shared" si="9"/>
        <v>0</v>
      </c>
      <c r="AL55" t="s">
        <v>16</v>
      </c>
      <c r="AM55">
        <f ca="1">AG13</f>
        <v>0</v>
      </c>
      <c r="BR55" s="3"/>
    </row>
    <row r="56" spans="6:70" x14ac:dyDescent="0.2">
      <c r="F56">
        <v>28</v>
      </c>
      <c r="AH56">
        <v>1</v>
      </c>
      <c r="AK56">
        <f t="shared" si="9"/>
        <v>0</v>
      </c>
      <c r="AL56" t="s">
        <v>16</v>
      </c>
      <c r="AM56">
        <f ca="1">AH13</f>
        <v>0</v>
      </c>
      <c r="BR56" s="3"/>
    </row>
    <row r="57" spans="6:70" x14ac:dyDescent="0.2">
      <c r="F57">
        <v>29</v>
      </c>
      <c r="AI57">
        <f>AI6</f>
        <v>0</v>
      </c>
      <c r="AK57">
        <f t="shared" si="9"/>
        <v>0</v>
      </c>
      <c r="AL57" t="s">
        <v>16</v>
      </c>
      <c r="AM57">
        <f ca="1">AI13</f>
        <v>0</v>
      </c>
      <c r="BR57" s="3"/>
    </row>
    <row r="58" spans="6:70" x14ac:dyDescent="0.2">
      <c r="F58">
        <v>30</v>
      </c>
      <c r="AJ58">
        <v>1</v>
      </c>
      <c r="AK58">
        <f t="shared" si="9"/>
        <v>0</v>
      </c>
      <c r="AL58" t="s">
        <v>16</v>
      </c>
      <c r="AM58">
        <f ca="1">AJ13</f>
        <v>0</v>
      </c>
      <c r="BR58" s="3"/>
    </row>
    <row r="59" spans="6:70" x14ac:dyDescent="0.2">
      <c r="BR59" s="3"/>
    </row>
    <row r="60" spans="6:70" x14ac:dyDescent="0.2">
      <c r="BR60" s="3"/>
    </row>
    <row r="61" spans="6:70" x14ac:dyDescent="0.2">
      <c r="BR61" s="3"/>
    </row>
    <row r="80" spans="2:66" x14ac:dyDescent="0.2"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</row>
    <row r="136" spans="2:66" x14ac:dyDescent="0.2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</row>
    <row r="164" spans="2:66" x14ac:dyDescent="0.2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</row>
    <row r="192" spans="2:66" x14ac:dyDescent="0.2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</row>
    <row r="220" spans="2:66" x14ac:dyDescent="0.2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</row>
  </sheetData>
  <conditionalFormatting sqref="BZ7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24:CT30 BS55:CT61 G19:AJ19 G28:AJ28">
    <cfRule type="cellIs" dxfId="1" priority="1" operator="lessThan">
      <formula>0</formula>
    </cfRule>
  </conditionalFormatting>
  <conditionalFormatting sqref="G6:AJ6">
    <cfRule type="colorScale" priority="3">
      <colorScale>
        <cfvo type="min"/>
        <cfvo type="max"/>
        <color theme="0"/>
        <color theme="7"/>
      </colorScale>
    </cfRule>
    <cfRule type="colorScale" priority="4">
      <colorScale>
        <cfvo type="min"/>
        <cfvo type="max"/>
        <color rgb="FF63BE7B"/>
        <color rgb="FFFFEF9C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B9F5F-4D64-4201-9427-CEDB7C9F2301}">
  <sheetPr codeName="Sheet9"/>
  <dimension ref="A1:BR220"/>
  <sheetViews>
    <sheetView zoomScale="80" zoomScaleNormal="80" workbookViewId="0">
      <selection activeCell="G7" sqref="G7:AJ7"/>
    </sheetView>
  </sheetViews>
  <sheetFormatPr baseColWidth="10" defaultColWidth="11" defaultRowHeight="16" x14ac:dyDescent="0.2"/>
  <cols>
    <col min="1" max="1" width="12" customWidth="1"/>
    <col min="3" max="3" width="12.6640625" customWidth="1"/>
    <col min="4" max="4" width="4.6640625" customWidth="1"/>
    <col min="5" max="5" width="8.6640625" bestFit="1" customWidth="1"/>
    <col min="6" max="6" width="9.6640625" bestFit="1" customWidth="1"/>
    <col min="7" max="36" width="4.6640625" customWidth="1"/>
    <col min="37" max="37" width="13.33203125" customWidth="1"/>
    <col min="39" max="39" width="9.6640625" customWidth="1"/>
    <col min="40" max="40" width="5.1640625" customWidth="1"/>
    <col min="41" max="41" width="4" customWidth="1"/>
    <col min="42" max="42" width="3.1640625" customWidth="1"/>
    <col min="43" max="47" width="2.6640625" customWidth="1"/>
    <col min="48" max="69" width="3.1640625" customWidth="1"/>
    <col min="70" max="70" width="15.5" customWidth="1"/>
    <col min="71" max="71" width="3.1640625" customWidth="1"/>
    <col min="72" max="72" width="3.6640625" customWidth="1"/>
    <col min="73" max="73" width="3.1640625" customWidth="1"/>
    <col min="74" max="98" width="3.6640625" customWidth="1"/>
    <col min="99" max="100" width="2.83203125" bestFit="1" customWidth="1"/>
    <col min="102" max="102" width="10.6640625" customWidth="1"/>
    <col min="103" max="103" width="14.6640625" customWidth="1"/>
  </cols>
  <sheetData>
    <row r="1" spans="1:70" x14ac:dyDescent="0.2">
      <c r="G1" s="5">
        <f t="shared" ref="G1:AJ1" si="0">G2/$AM$2</f>
        <v>0.2</v>
      </c>
      <c r="H1" s="5">
        <f t="shared" si="0"/>
        <v>0.4</v>
      </c>
      <c r="I1" s="5">
        <f t="shared" si="0"/>
        <v>0.6</v>
      </c>
      <c r="J1" s="5">
        <f t="shared" si="0"/>
        <v>0.8</v>
      </c>
      <c r="K1" s="5">
        <f t="shared" si="0"/>
        <v>1</v>
      </c>
      <c r="L1" s="5">
        <f t="shared" si="0"/>
        <v>1.2</v>
      </c>
      <c r="M1" s="5">
        <f t="shared" si="0"/>
        <v>1.4</v>
      </c>
      <c r="N1" s="5">
        <f t="shared" si="0"/>
        <v>1.6</v>
      </c>
      <c r="O1" s="5">
        <f t="shared" si="0"/>
        <v>1.8</v>
      </c>
      <c r="P1" s="5">
        <f t="shared" si="0"/>
        <v>2</v>
      </c>
      <c r="Q1" s="5">
        <f t="shared" si="0"/>
        <v>2.2000000000000002</v>
      </c>
      <c r="R1" s="5">
        <f t="shared" si="0"/>
        <v>2.4</v>
      </c>
      <c r="S1" s="5">
        <f t="shared" si="0"/>
        <v>2.6</v>
      </c>
      <c r="T1" s="5">
        <f t="shared" si="0"/>
        <v>2.8</v>
      </c>
      <c r="U1" s="5">
        <f t="shared" si="0"/>
        <v>3</v>
      </c>
      <c r="V1" s="5">
        <f t="shared" si="0"/>
        <v>3.2</v>
      </c>
      <c r="W1" s="5">
        <f t="shared" si="0"/>
        <v>3.4</v>
      </c>
      <c r="X1" s="5">
        <f t="shared" si="0"/>
        <v>3.6</v>
      </c>
      <c r="Y1" s="5">
        <f t="shared" si="0"/>
        <v>3.8</v>
      </c>
      <c r="Z1" s="5">
        <f t="shared" si="0"/>
        <v>4</v>
      </c>
      <c r="AA1" s="5">
        <f t="shared" si="0"/>
        <v>4.2</v>
      </c>
      <c r="AB1" s="5">
        <f t="shared" si="0"/>
        <v>4.4000000000000004</v>
      </c>
      <c r="AC1" s="5">
        <f t="shared" si="0"/>
        <v>4.5999999999999996</v>
      </c>
      <c r="AD1" s="5">
        <f t="shared" si="0"/>
        <v>4.8</v>
      </c>
      <c r="AE1" s="5">
        <f t="shared" si="0"/>
        <v>5</v>
      </c>
      <c r="AF1" s="5">
        <f t="shared" si="0"/>
        <v>5.2</v>
      </c>
      <c r="AG1" s="5">
        <f t="shared" si="0"/>
        <v>5.4</v>
      </c>
      <c r="AH1" s="5">
        <f t="shared" si="0"/>
        <v>5.6</v>
      </c>
      <c r="AI1" s="5">
        <f t="shared" si="0"/>
        <v>5.8</v>
      </c>
      <c r="AJ1" s="5">
        <f t="shared" si="0"/>
        <v>6</v>
      </c>
    </row>
    <row r="2" spans="1:70" ht="17" thickBot="1" x14ac:dyDescent="0.25">
      <c r="A2" s="20" t="s">
        <v>27</v>
      </c>
      <c r="E2" s="11" t="s">
        <v>0</v>
      </c>
      <c r="F2" s="11" t="s">
        <v>1</v>
      </c>
      <c r="G2" s="10">
        <v>1</v>
      </c>
      <c r="H2" s="10">
        <v>2</v>
      </c>
      <c r="I2" s="10">
        <v>3</v>
      </c>
      <c r="J2" s="10">
        <v>4</v>
      </c>
      <c r="K2" s="10">
        <v>5</v>
      </c>
      <c r="L2" s="10">
        <v>6</v>
      </c>
      <c r="M2" s="10">
        <v>7</v>
      </c>
      <c r="N2" s="10">
        <v>8</v>
      </c>
      <c r="O2" s="10">
        <v>9</v>
      </c>
      <c r="P2" s="10">
        <v>10</v>
      </c>
      <c r="Q2" s="10">
        <v>11</v>
      </c>
      <c r="R2" s="10">
        <v>12</v>
      </c>
      <c r="S2" s="10">
        <v>13</v>
      </c>
      <c r="T2" s="10">
        <v>14</v>
      </c>
      <c r="U2" s="10">
        <v>15</v>
      </c>
      <c r="V2" s="10">
        <v>16</v>
      </c>
      <c r="W2" s="10">
        <v>17</v>
      </c>
      <c r="X2" s="10">
        <v>18</v>
      </c>
      <c r="Y2" s="10">
        <v>19</v>
      </c>
      <c r="Z2" s="10">
        <v>20</v>
      </c>
      <c r="AA2" s="10">
        <v>21</v>
      </c>
      <c r="AB2" s="10">
        <v>22</v>
      </c>
      <c r="AC2" s="10">
        <v>23</v>
      </c>
      <c r="AD2" s="10">
        <v>24</v>
      </c>
      <c r="AE2" s="10">
        <v>25</v>
      </c>
      <c r="AF2" s="10">
        <v>26</v>
      </c>
      <c r="AG2" s="10">
        <v>27</v>
      </c>
      <c r="AH2" s="10">
        <v>28</v>
      </c>
      <c r="AI2" s="10">
        <v>29</v>
      </c>
      <c r="AJ2" s="10">
        <v>30</v>
      </c>
      <c r="AL2" t="s">
        <v>2</v>
      </c>
      <c r="AM2" s="7">
        <f>'Inputs and Outputs'!B2</f>
        <v>5</v>
      </c>
      <c r="AP2" s="2"/>
    </row>
    <row r="3" spans="1:70" x14ac:dyDescent="0.2">
      <c r="A3" t="s">
        <v>28</v>
      </c>
      <c r="B3" s="22"/>
      <c r="E3" s="21">
        <v>3</v>
      </c>
      <c r="F3" s="3" t="s">
        <v>36</v>
      </c>
      <c r="G3" s="9">
        <f>'Inputs and Outputs'!E11</f>
        <v>0</v>
      </c>
      <c r="H3" s="9">
        <f>'Inputs and Outputs'!F11</f>
        <v>0</v>
      </c>
      <c r="I3" s="9">
        <f>'Inputs and Outputs'!G11</f>
        <v>0</v>
      </c>
      <c r="J3" s="9">
        <f>'Inputs and Outputs'!H11</f>
        <v>0</v>
      </c>
      <c r="K3" s="9">
        <f>'Inputs and Outputs'!I11</f>
        <v>2</v>
      </c>
      <c r="L3" s="9">
        <f>'Inputs and Outputs'!J11</f>
        <v>0</v>
      </c>
      <c r="M3" s="9">
        <f>'Inputs and Outputs'!K11</f>
        <v>3</v>
      </c>
      <c r="N3" s="9">
        <f>'Inputs and Outputs'!L11</f>
        <v>2</v>
      </c>
      <c r="O3" s="9">
        <f>'Inputs and Outputs'!M11</f>
        <v>0</v>
      </c>
      <c r="P3" s="9">
        <f>'Inputs and Outputs'!N11</f>
        <v>1</v>
      </c>
      <c r="Q3" s="9">
        <f>'Inputs and Outputs'!O11</f>
        <v>0</v>
      </c>
      <c r="R3" s="9">
        <f>'Inputs and Outputs'!P11</f>
        <v>0</v>
      </c>
      <c r="S3" s="9">
        <f>'Inputs and Outputs'!Q11</f>
        <v>3</v>
      </c>
      <c r="T3" s="9">
        <f>'Inputs and Outputs'!R11</f>
        <v>0</v>
      </c>
      <c r="U3" s="9">
        <f>'Inputs and Outputs'!S11</f>
        <v>1</v>
      </c>
      <c r="V3" s="9">
        <f>'Inputs and Outputs'!T11</f>
        <v>0</v>
      </c>
      <c r="W3" s="9">
        <f>'Inputs and Outputs'!U11</f>
        <v>0</v>
      </c>
      <c r="X3" s="9">
        <f>'Inputs and Outputs'!V11</f>
        <v>0</v>
      </c>
      <c r="Y3" s="9">
        <f>'Inputs and Outputs'!W11</f>
        <v>1</v>
      </c>
      <c r="Z3" s="9">
        <f>'Inputs and Outputs'!X11</f>
        <v>0</v>
      </c>
      <c r="AA3" s="9">
        <f>'Inputs and Outputs'!Y11</f>
        <v>0</v>
      </c>
      <c r="AB3" s="9">
        <f>'Inputs and Outputs'!Z11</f>
        <v>3</v>
      </c>
      <c r="AC3" s="9">
        <f>'Inputs and Outputs'!AA11</f>
        <v>0</v>
      </c>
      <c r="AD3" s="9">
        <f>'Inputs and Outputs'!AB11</f>
        <v>0</v>
      </c>
      <c r="AE3" s="9">
        <f>'Inputs and Outputs'!AC11</f>
        <v>0</v>
      </c>
      <c r="AF3" s="9">
        <f>'Inputs and Outputs'!AD11</f>
        <v>0</v>
      </c>
      <c r="AG3" s="9">
        <f>'Inputs and Outputs'!AE11</f>
        <v>1</v>
      </c>
      <c r="AH3" s="9">
        <f>'Inputs and Outputs'!AF11</f>
        <v>0</v>
      </c>
      <c r="AI3" s="9">
        <f>'Inputs and Outputs'!AG11</f>
        <v>0</v>
      </c>
      <c r="AJ3" s="9">
        <f>'Inputs and Outputs'!AH11</f>
        <v>0</v>
      </c>
      <c r="BR3" s="3"/>
    </row>
    <row r="4" spans="1:70" x14ac:dyDescent="0.2">
      <c r="A4" t="s">
        <v>29</v>
      </c>
      <c r="B4" s="4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</row>
    <row r="5" spans="1:70" x14ac:dyDescent="0.2">
      <c r="A5" t="s">
        <v>30</v>
      </c>
      <c r="B5" s="23"/>
      <c r="G5" s="10">
        <v>1</v>
      </c>
      <c r="H5" s="10">
        <v>2</v>
      </c>
      <c r="I5" s="10">
        <v>3</v>
      </c>
      <c r="J5" s="10">
        <v>4</v>
      </c>
      <c r="K5" s="10">
        <v>5</v>
      </c>
      <c r="L5" s="10">
        <v>6</v>
      </c>
      <c r="M5" s="10">
        <v>7</v>
      </c>
      <c r="N5" s="10">
        <v>8</v>
      </c>
      <c r="O5" s="10">
        <v>9</v>
      </c>
      <c r="P5" s="10">
        <v>10</v>
      </c>
      <c r="Q5" s="10">
        <v>11</v>
      </c>
      <c r="R5" s="10">
        <v>12</v>
      </c>
      <c r="S5" s="10">
        <v>13</v>
      </c>
      <c r="T5" s="10">
        <v>14</v>
      </c>
      <c r="U5" s="10">
        <v>15</v>
      </c>
      <c r="V5" s="10">
        <v>16</v>
      </c>
      <c r="W5" s="10">
        <v>17</v>
      </c>
      <c r="X5" s="10">
        <v>18</v>
      </c>
      <c r="Y5" s="10">
        <v>19</v>
      </c>
      <c r="Z5" s="10">
        <v>20</v>
      </c>
      <c r="AA5" s="10">
        <v>21</v>
      </c>
      <c r="AB5" s="10">
        <v>22</v>
      </c>
      <c r="AC5" s="10">
        <v>23</v>
      </c>
      <c r="AD5" s="10">
        <v>24</v>
      </c>
      <c r="AE5" s="10">
        <v>25</v>
      </c>
      <c r="AF5" s="10">
        <v>26</v>
      </c>
      <c r="AG5" s="10">
        <v>27</v>
      </c>
      <c r="AH5" s="10">
        <v>28</v>
      </c>
      <c r="AI5" s="10">
        <v>29</v>
      </c>
      <c r="AJ5" s="10">
        <v>30</v>
      </c>
      <c r="AK5" t="s">
        <v>21</v>
      </c>
    </row>
    <row r="6" spans="1:70" x14ac:dyDescent="0.2">
      <c r="F6" s="12" t="s">
        <v>14</v>
      </c>
      <c r="G6" s="13">
        <f>IF(AM2&gt;=1,1,0)</f>
        <v>1</v>
      </c>
      <c r="H6" s="13">
        <f t="shared" ref="H6:AJ6" si="1">IF(OR(G1=1,G1=2,G1=3,G1=4,G1=5,G1=6,G1=7,G1=8,G1=9,G1=10,G1=11,G1=12,G1=13,G1=14),1,0)</f>
        <v>0</v>
      </c>
      <c r="I6" s="13">
        <f t="shared" si="1"/>
        <v>0</v>
      </c>
      <c r="J6" s="13">
        <f t="shared" si="1"/>
        <v>0</v>
      </c>
      <c r="K6" s="13">
        <f t="shared" si="1"/>
        <v>0</v>
      </c>
      <c r="L6" s="13">
        <f t="shared" si="1"/>
        <v>1</v>
      </c>
      <c r="M6" s="13">
        <f t="shared" si="1"/>
        <v>0</v>
      </c>
      <c r="N6" s="13">
        <f t="shared" si="1"/>
        <v>0</v>
      </c>
      <c r="O6" s="13">
        <f t="shared" si="1"/>
        <v>0</v>
      </c>
      <c r="P6" s="13">
        <f t="shared" si="1"/>
        <v>0</v>
      </c>
      <c r="Q6" s="13">
        <f t="shared" si="1"/>
        <v>1</v>
      </c>
      <c r="R6" s="13">
        <f t="shared" si="1"/>
        <v>0</v>
      </c>
      <c r="S6" s="13">
        <f t="shared" si="1"/>
        <v>0</v>
      </c>
      <c r="T6" s="13">
        <f t="shared" si="1"/>
        <v>0</v>
      </c>
      <c r="U6" s="13">
        <f t="shared" si="1"/>
        <v>0</v>
      </c>
      <c r="V6" s="13">
        <f t="shared" si="1"/>
        <v>1</v>
      </c>
      <c r="W6" s="13">
        <f t="shared" si="1"/>
        <v>0</v>
      </c>
      <c r="X6" s="13">
        <f t="shared" si="1"/>
        <v>0</v>
      </c>
      <c r="Y6" s="13">
        <f t="shared" si="1"/>
        <v>0</v>
      </c>
      <c r="Z6" s="13">
        <f t="shared" si="1"/>
        <v>0</v>
      </c>
      <c r="AA6" s="13">
        <f t="shared" si="1"/>
        <v>1</v>
      </c>
      <c r="AB6" s="13">
        <f t="shared" si="1"/>
        <v>0</v>
      </c>
      <c r="AC6" s="13">
        <f t="shared" si="1"/>
        <v>0</v>
      </c>
      <c r="AD6" s="13">
        <f t="shared" si="1"/>
        <v>0</v>
      </c>
      <c r="AE6" s="13">
        <f t="shared" si="1"/>
        <v>0</v>
      </c>
      <c r="AF6" s="13">
        <f t="shared" si="1"/>
        <v>1</v>
      </c>
      <c r="AG6" s="13">
        <f t="shared" si="1"/>
        <v>0</v>
      </c>
      <c r="AH6" s="13">
        <f t="shared" si="1"/>
        <v>0</v>
      </c>
      <c r="AI6" s="13">
        <f t="shared" si="1"/>
        <v>0</v>
      </c>
      <c r="AJ6" s="13">
        <f t="shared" si="1"/>
        <v>0</v>
      </c>
      <c r="AL6" s="1">
        <f>SUM(G28:AH28)</f>
        <v>5.2154190570409984</v>
      </c>
      <c r="AN6">
        <v>0</v>
      </c>
      <c r="AO6" s="18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</row>
    <row r="7" spans="1:70" x14ac:dyDescent="0.2">
      <c r="E7" t="s">
        <v>15</v>
      </c>
      <c r="F7" s="3" t="s">
        <v>36</v>
      </c>
      <c r="G7" s="4">
        <v>2</v>
      </c>
      <c r="H7" s="4">
        <v>0</v>
      </c>
      <c r="I7" s="4">
        <v>0</v>
      </c>
      <c r="J7" s="4">
        <v>0</v>
      </c>
      <c r="K7" s="4">
        <v>0</v>
      </c>
      <c r="L7" s="4">
        <v>6</v>
      </c>
      <c r="M7" s="4">
        <v>0</v>
      </c>
      <c r="N7" s="4">
        <v>3.408662899251337</v>
      </c>
      <c r="O7" s="4">
        <v>0</v>
      </c>
      <c r="P7" s="4">
        <v>0</v>
      </c>
      <c r="Q7" s="4">
        <v>4</v>
      </c>
      <c r="R7" s="4">
        <v>0</v>
      </c>
      <c r="S7" s="4">
        <v>0</v>
      </c>
      <c r="T7" s="4">
        <v>0</v>
      </c>
      <c r="U7" s="4">
        <v>1.0981466332976828</v>
      </c>
      <c r="V7" s="4">
        <v>1</v>
      </c>
      <c r="W7" s="4">
        <v>0</v>
      </c>
      <c r="X7" s="4">
        <v>0</v>
      </c>
      <c r="Y7" s="4">
        <v>0</v>
      </c>
      <c r="Z7" s="4">
        <v>0</v>
      </c>
      <c r="AA7" s="4">
        <v>3</v>
      </c>
      <c r="AB7" s="4">
        <v>1.7086095244919788</v>
      </c>
      <c r="AC7" s="4">
        <v>0</v>
      </c>
      <c r="AD7" s="4">
        <v>0</v>
      </c>
      <c r="AE7" s="4">
        <v>0</v>
      </c>
      <c r="AF7" s="4">
        <v>1</v>
      </c>
      <c r="AG7" s="4">
        <v>0</v>
      </c>
      <c r="AH7" s="4">
        <v>0</v>
      </c>
      <c r="AI7" s="4">
        <v>0</v>
      </c>
      <c r="AJ7" s="4">
        <v>0</v>
      </c>
      <c r="AK7">
        <f>SUMPRODUCT($G$6:$AJ$6,G7:AJ7)</f>
        <v>17</v>
      </c>
      <c r="AL7" s="6" t="s">
        <v>16</v>
      </c>
      <c r="AM7">
        <f>SUM(G3:AJ3)</f>
        <v>17</v>
      </c>
    </row>
    <row r="8" spans="1:70" x14ac:dyDescent="0.2">
      <c r="A8" s="11" t="s">
        <v>1</v>
      </c>
      <c r="B8" t="s">
        <v>4</v>
      </c>
      <c r="C8" t="s">
        <v>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</row>
    <row r="9" spans="1:70" x14ac:dyDescent="0.2">
      <c r="A9" s="16" t="s">
        <v>6</v>
      </c>
      <c r="B9" s="17">
        <v>1.25</v>
      </c>
      <c r="C9" s="18">
        <v>1</v>
      </c>
    </row>
    <row r="10" spans="1:70" x14ac:dyDescent="0.2">
      <c r="A10" s="16" t="s">
        <v>7</v>
      </c>
      <c r="B10" s="17">
        <v>5.99</v>
      </c>
      <c r="C10" s="18">
        <v>2</v>
      </c>
      <c r="F10" s="2" t="s">
        <v>20</v>
      </c>
      <c r="G10" s="2">
        <v>1</v>
      </c>
      <c r="H10" s="2">
        <v>2</v>
      </c>
      <c r="I10" s="2">
        <v>3</v>
      </c>
      <c r="J10" s="2">
        <v>4</v>
      </c>
      <c r="K10" s="2">
        <v>5</v>
      </c>
      <c r="L10" s="2">
        <v>6</v>
      </c>
      <c r="M10" s="2">
        <v>7</v>
      </c>
      <c r="N10" s="2">
        <v>8</v>
      </c>
      <c r="O10" s="2">
        <v>9</v>
      </c>
      <c r="P10" s="2">
        <v>10</v>
      </c>
      <c r="Q10" s="2">
        <v>11</v>
      </c>
      <c r="R10" s="2">
        <v>12</v>
      </c>
      <c r="S10" s="2">
        <v>13</v>
      </c>
      <c r="T10" s="2">
        <v>14</v>
      </c>
      <c r="U10" s="2">
        <v>15</v>
      </c>
      <c r="V10" s="2">
        <v>16</v>
      </c>
      <c r="W10" s="2">
        <v>17</v>
      </c>
      <c r="X10" s="2">
        <v>18</v>
      </c>
      <c r="Y10" s="2">
        <v>19</v>
      </c>
      <c r="Z10" s="2">
        <v>20</v>
      </c>
      <c r="AA10" s="2">
        <v>21</v>
      </c>
      <c r="AB10" s="2">
        <v>22</v>
      </c>
      <c r="AC10" s="2">
        <v>23</v>
      </c>
      <c r="AD10" s="2">
        <v>24</v>
      </c>
      <c r="AE10" s="2">
        <v>25</v>
      </c>
      <c r="AF10" s="2">
        <v>26</v>
      </c>
      <c r="AG10" s="2">
        <v>27</v>
      </c>
      <c r="AH10" s="2">
        <v>28</v>
      </c>
      <c r="AI10" s="2">
        <v>29</v>
      </c>
      <c r="AJ10" s="2">
        <v>30</v>
      </c>
    </row>
    <row r="11" spans="1:70" x14ac:dyDescent="0.2">
      <c r="A11" s="16" t="s">
        <v>8</v>
      </c>
      <c r="B11" s="17">
        <v>0.27</v>
      </c>
      <c r="C11" s="18">
        <v>1</v>
      </c>
      <c r="F11" s="3" t="s">
        <v>36</v>
      </c>
      <c r="G11">
        <v>0</v>
      </c>
      <c r="H11">
        <f t="shared" ref="H11:AJ11" si="2">IF(H15=0,0,IF(H19&gt;G19,G19-H3,IF(G11&gt;0,G11-1,0)))</f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-2</v>
      </c>
      <c r="M11">
        <f t="shared" si="2"/>
        <v>0</v>
      </c>
      <c r="N11">
        <f t="shared" si="2"/>
        <v>-1</v>
      </c>
      <c r="O11">
        <f t="shared" si="2"/>
        <v>0</v>
      </c>
      <c r="P11">
        <f t="shared" si="2"/>
        <v>0</v>
      </c>
      <c r="Q11">
        <f t="shared" si="2"/>
        <v>0</v>
      </c>
      <c r="R11">
        <f t="shared" si="2"/>
        <v>0</v>
      </c>
      <c r="S11">
        <f t="shared" si="2"/>
        <v>0</v>
      </c>
      <c r="T11">
        <f t="shared" si="2"/>
        <v>0</v>
      </c>
      <c r="U11">
        <f t="shared" si="2"/>
        <v>-1</v>
      </c>
      <c r="V11">
        <f t="shared" si="2"/>
        <v>9.8146633297682806E-2</v>
      </c>
      <c r="W11">
        <f t="shared" si="2"/>
        <v>-0.90185336670231719</v>
      </c>
      <c r="X11">
        <f t="shared" si="2"/>
        <v>0</v>
      </c>
      <c r="Y11">
        <f t="shared" si="2"/>
        <v>0</v>
      </c>
      <c r="Z11">
        <f t="shared" si="2"/>
        <v>0</v>
      </c>
      <c r="AA11">
        <f t="shared" si="2"/>
        <v>-1</v>
      </c>
      <c r="AB11">
        <f t="shared" si="2"/>
        <v>0</v>
      </c>
      <c r="AC11">
        <f t="shared" si="2"/>
        <v>0</v>
      </c>
      <c r="AD11">
        <f t="shared" si="2"/>
        <v>0</v>
      </c>
      <c r="AE11">
        <f t="shared" si="2"/>
        <v>0</v>
      </c>
      <c r="AF11">
        <f t="shared" si="2"/>
        <v>0</v>
      </c>
      <c r="AG11">
        <f t="shared" si="2"/>
        <v>0</v>
      </c>
      <c r="AH11">
        <f t="shared" si="2"/>
        <v>0</v>
      </c>
      <c r="AI11">
        <f t="shared" si="2"/>
        <v>0</v>
      </c>
      <c r="AJ11">
        <f t="shared" si="2"/>
        <v>0</v>
      </c>
    </row>
    <row r="12" spans="1:70" x14ac:dyDescent="0.2">
      <c r="A12" s="16" t="s">
        <v>9</v>
      </c>
      <c r="B12" s="17">
        <v>3.49</v>
      </c>
      <c r="C12" s="18">
        <v>6</v>
      </c>
      <c r="G12" s="14">
        <v>1</v>
      </c>
      <c r="H12" s="14">
        <v>2</v>
      </c>
      <c r="I12" s="14">
        <v>3</v>
      </c>
      <c r="J12" s="14">
        <v>4</v>
      </c>
      <c r="K12" s="14">
        <v>5</v>
      </c>
      <c r="L12" s="14">
        <v>6</v>
      </c>
      <c r="M12" s="14">
        <v>7</v>
      </c>
      <c r="N12" s="14">
        <v>8</v>
      </c>
      <c r="O12" s="14">
        <v>9</v>
      </c>
      <c r="P12" s="14">
        <v>10</v>
      </c>
      <c r="Q12" s="14">
        <v>11</v>
      </c>
      <c r="R12" s="14">
        <v>12</v>
      </c>
      <c r="S12" s="14">
        <v>13</v>
      </c>
      <c r="T12" s="14">
        <v>14</v>
      </c>
      <c r="U12" s="14">
        <v>15</v>
      </c>
      <c r="V12" s="14">
        <v>16</v>
      </c>
      <c r="W12" s="14">
        <v>17</v>
      </c>
      <c r="X12" s="14">
        <v>18</v>
      </c>
      <c r="Y12" s="14">
        <v>19</v>
      </c>
      <c r="Z12" s="14">
        <v>20</v>
      </c>
      <c r="AA12" s="14">
        <v>21</v>
      </c>
      <c r="AB12" s="14">
        <v>22</v>
      </c>
      <c r="AC12" s="14">
        <v>23</v>
      </c>
      <c r="AD12" s="14">
        <v>24</v>
      </c>
      <c r="AE12" s="14">
        <v>25</v>
      </c>
      <c r="AF12" s="14">
        <v>26</v>
      </c>
      <c r="AG12" s="14">
        <v>27</v>
      </c>
      <c r="AH12" s="14">
        <v>28</v>
      </c>
      <c r="AI12" s="14">
        <v>29</v>
      </c>
      <c r="AJ12" s="14">
        <v>30</v>
      </c>
    </row>
    <row r="13" spans="1:70" x14ac:dyDescent="0.2">
      <c r="A13" s="16" t="s">
        <v>10</v>
      </c>
      <c r="B13" s="17">
        <v>4.99</v>
      </c>
      <c r="C13" s="18">
        <v>5</v>
      </c>
      <c r="H13">
        <f t="shared" ref="H13:AJ13" ca="1" si="3">IF(H6=1,SUM(OFFSET(H3,0,0,1,$AM$2)),0)</f>
        <v>0</v>
      </c>
      <c r="I13">
        <f t="shared" ca="1" si="3"/>
        <v>0</v>
      </c>
      <c r="J13">
        <f t="shared" ca="1" si="3"/>
        <v>0</v>
      </c>
      <c r="K13">
        <f t="shared" ca="1" si="3"/>
        <v>0</v>
      </c>
      <c r="L13">
        <f t="shared" ca="1" si="3"/>
        <v>6</v>
      </c>
      <c r="M13">
        <f t="shared" ca="1" si="3"/>
        <v>0</v>
      </c>
      <c r="N13">
        <f t="shared" ca="1" si="3"/>
        <v>0</v>
      </c>
      <c r="O13">
        <f t="shared" ca="1" si="3"/>
        <v>0</v>
      </c>
      <c r="P13">
        <f t="shared" ca="1" si="3"/>
        <v>0</v>
      </c>
      <c r="Q13">
        <f t="shared" ca="1" si="3"/>
        <v>4</v>
      </c>
      <c r="R13">
        <f t="shared" ca="1" si="3"/>
        <v>0</v>
      </c>
      <c r="S13">
        <f t="shared" ca="1" si="3"/>
        <v>0</v>
      </c>
      <c r="T13">
        <f t="shared" ca="1" si="3"/>
        <v>0</v>
      </c>
      <c r="U13">
        <f t="shared" ca="1" si="3"/>
        <v>0</v>
      </c>
      <c r="V13">
        <f t="shared" ca="1" si="3"/>
        <v>1</v>
      </c>
      <c r="W13">
        <f t="shared" ca="1" si="3"/>
        <v>0</v>
      </c>
      <c r="X13">
        <f t="shared" ca="1" si="3"/>
        <v>0</v>
      </c>
      <c r="Y13">
        <f t="shared" ca="1" si="3"/>
        <v>0</v>
      </c>
      <c r="Z13">
        <f t="shared" ca="1" si="3"/>
        <v>0</v>
      </c>
      <c r="AA13">
        <f t="shared" ca="1" si="3"/>
        <v>3</v>
      </c>
      <c r="AB13">
        <f t="shared" ca="1" si="3"/>
        <v>0</v>
      </c>
      <c r="AC13">
        <f t="shared" ca="1" si="3"/>
        <v>0</v>
      </c>
      <c r="AD13">
        <f t="shared" ca="1" si="3"/>
        <v>0</v>
      </c>
      <c r="AE13">
        <f t="shared" ca="1" si="3"/>
        <v>0</v>
      </c>
      <c r="AF13">
        <f t="shared" ca="1" si="3"/>
        <v>1</v>
      </c>
      <c r="AG13">
        <f t="shared" ca="1" si="3"/>
        <v>0</v>
      </c>
      <c r="AH13">
        <f t="shared" ca="1" si="3"/>
        <v>0</v>
      </c>
      <c r="AI13">
        <f t="shared" ca="1" si="3"/>
        <v>0</v>
      </c>
      <c r="AJ13">
        <f t="shared" ca="1" si="3"/>
        <v>0</v>
      </c>
    </row>
    <row r="14" spans="1:70" x14ac:dyDescent="0.2">
      <c r="A14" s="16" t="s">
        <v>11</v>
      </c>
      <c r="B14" s="17">
        <v>4.99</v>
      </c>
      <c r="C14" s="18">
        <v>6</v>
      </c>
      <c r="F14" s="19" t="s">
        <v>22</v>
      </c>
      <c r="G14" s="2">
        <v>1</v>
      </c>
      <c r="H14" s="2">
        <v>2</v>
      </c>
      <c r="I14" s="2">
        <v>3</v>
      </c>
      <c r="J14" s="2">
        <v>4</v>
      </c>
      <c r="K14" s="2">
        <v>5</v>
      </c>
      <c r="L14" s="2">
        <v>6</v>
      </c>
      <c r="M14" s="2">
        <v>7</v>
      </c>
      <c r="N14" s="2">
        <v>8</v>
      </c>
      <c r="O14" s="2">
        <v>9</v>
      </c>
      <c r="P14" s="2">
        <v>10</v>
      </c>
      <c r="Q14" s="2">
        <v>11</v>
      </c>
      <c r="R14" s="2">
        <v>12</v>
      </c>
      <c r="S14" s="2">
        <v>13</v>
      </c>
      <c r="T14" s="2">
        <v>14</v>
      </c>
      <c r="U14" s="2">
        <v>15</v>
      </c>
      <c r="V14" s="2">
        <v>16</v>
      </c>
      <c r="W14" s="2">
        <v>17</v>
      </c>
      <c r="X14" s="2">
        <v>18</v>
      </c>
      <c r="Y14" s="2">
        <v>19</v>
      </c>
      <c r="Z14" s="2">
        <v>20</v>
      </c>
      <c r="AA14" s="2">
        <v>21</v>
      </c>
      <c r="AB14" s="2">
        <v>22</v>
      </c>
      <c r="AC14" s="2">
        <v>23</v>
      </c>
      <c r="AD14" s="2">
        <v>24</v>
      </c>
      <c r="AE14" s="2">
        <v>25</v>
      </c>
      <c r="AF14" s="2">
        <v>26</v>
      </c>
      <c r="AG14" s="2">
        <v>27</v>
      </c>
      <c r="AH14" s="2">
        <v>28</v>
      </c>
      <c r="AI14" s="2">
        <v>29</v>
      </c>
      <c r="AJ14" s="2">
        <v>30</v>
      </c>
    </row>
    <row r="15" spans="1:70" x14ac:dyDescent="0.2">
      <c r="A15" s="16" t="s">
        <v>12</v>
      </c>
      <c r="B15" s="17">
        <v>0.9</v>
      </c>
      <c r="C15" s="18">
        <v>1</v>
      </c>
      <c r="F15" s="3" t="s">
        <v>36</v>
      </c>
      <c r="G15">
        <v>0</v>
      </c>
      <c r="H15">
        <f t="shared" ref="H15:AJ15" si="4">IF(AND(H7&gt;0,G19-H3&gt;0),G22-1,G15-1)</f>
        <v>-1</v>
      </c>
      <c r="I15">
        <f t="shared" si="4"/>
        <v>-2</v>
      </c>
      <c r="J15">
        <f t="shared" si="4"/>
        <v>-3</v>
      </c>
      <c r="K15">
        <f t="shared" si="4"/>
        <v>-4</v>
      </c>
      <c r="L15">
        <f t="shared" si="4"/>
        <v>-5</v>
      </c>
      <c r="M15">
        <f t="shared" si="4"/>
        <v>-6</v>
      </c>
      <c r="N15">
        <f t="shared" si="4"/>
        <v>-7</v>
      </c>
      <c r="O15">
        <f t="shared" si="4"/>
        <v>-8</v>
      </c>
      <c r="P15">
        <f t="shared" si="4"/>
        <v>-9</v>
      </c>
      <c r="Q15">
        <f t="shared" si="4"/>
        <v>0</v>
      </c>
      <c r="R15">
        <f t="shared" si="4"/>
        <v>-1</v>
      </c>
      <c r="S15">
        <f t="shared" si="4"/>
        <v>-2</v>
      </c>
      <c r="T15">
        <f t="shared" si="4"/>
        <v>-3</v>
      </c>
      <c r="U15">
        <f t="shared" si="4"/>
        <v>-4</v>
      </c>
      <c r="V15">
        <f t="shared" si="4"/>
        <v>2</v>
      </c>
      <c r="W15">
        <f t="shared" si="4"/>
        <v>1</v>
      </c>
      <c r="X15">
        <f t="shared" si="4"/>
        <v>0</v>
      </c>
      <c r="Y15">
        <f t="shared" si="4"/>
        <v>-1</v>
      </c>
      <c r="Z15">
        <f t="shared" si="4"/>
        <v>-2</v>
      </c>
      <c r="AA15">
        <f t="shared" si="4"/>
        <v>-3</v>
      </c>
      <c r="AB15">
        <f t="shared" si="4"/>
        <v>-4</v>
      </c>
      <c r="AC15">
        <f t="shared" si="4"/>
        <v>-5</v>
      </c>
      <c r="AD15">
        <f t="shared" si="4"/>
        <v>-6</v>
      </c>
      <c r="AE15">
        <f t="shared" si="4"/>
        <v>-7</v>
      </c>
      <c r="AF15">
        <f t="shared" si="4"/>
        <v>-8</v>
      </c>
      <c r="AG15">
        <f t="shared" si="4"/>
        <v>-9</v>
      </c>
      <c r="AH15">
        <f t="shared" si="4"/>
        <v>-10</v>
      </c>
      <c r="AI15">
        <f t="shared" si="4"/>
        <v>-11</v>
      </c>
      <c r="AJ15">
        <f t="shared" si="4"/>
        <v>-12</v>
      </c>
    </row>
    <row r="16" spans="1:70" x14ac:dyDescent="0.2">
      <c r="A16" s="16" t="s">
        <v>13</v>
      </c>
      <c r="B16" s="17">
        <v>2.4900000000000002</v>
      </c>
      <c r="C16" s="18">
        <v>5</v>
      </c>
      <c r="F16" s="3"/>
    </row>
    <row r="17" spans="5:70" x14ac:dyDescent="0.2">
      <c r="F17" s="15" t="s">
        <v>17</v>
      </c>
    </row>
    <row r="18" spans="5:70" x14ac:dyDescent="0.2">
      <c r="F18" s="10" t="s">
        <v>18</v>
      </c>
      <c r="G18" s="2">
        <v>1</v>
      </c>
      <c r="H18" s="2">
        <v>2</v>
      </c>
      <c r="I18" s="2">
        <v>3</v>
      </c>
      <c r="J18" s="2">
        <v>4</v>
      </c>
      <c r="K18" s="2">
        <v>5</v>
      </c>
      <c r="L18" s="2">
        <v>6</v>
      </c>
      <c r="M18" s="2">
        <v>7</v>
      </c>
      <c r="N18" s="2">
        <v>8</v>
      </c>
      <c r="O18" s="2">
        <v>9</v>
      </c>
      <c r="P18" s="2">
        <v>10</v>
      </c>
      <c r="Q18" s="2">
        <v>11</v>
      </c>
      <c r="R18" s="2">
        <v>12</v>
      </c>
      <c r="S18" s="2">
        <v>13</v>
      </c>
      <c r="T18" s="2">
        <v>14</v>
      </c>
      <c r="U18" s="2">
        <v>15</v>
      </c>
      <c r="V18" s="2">
        <v>16</v>
      </c>
      <c r="W18" s="2">
        <v>17</v>
      </c>
      <c r="X18" s="2">
        <v>18</v>
      </c>
      <c r="Y18" s="2">
        <v>19</v>
      </c>
      <c r="Z18" s="2">
        <v>20</v>
      </c>
      <c r="AA18" s="2">
        <v>21</v>
      </c>
      <c r="AB18" s="2">
        <v>22</v>
      </c>
      <c r="AC18" s="2">
        <v>23</v>
      </c>
      <c r="AD18" s="2">
        <v>24</v>
      </c>
      <c r="AE18" s="2">
        <v>25</v>
      </c>
      <c r="AF18" s="2">
        <v>26</v>
      </c>
      <c r="AG18" s="2">
        <v>27</v>
      </c>
      <c r="AH18" s="2">
        <v>28</v>
      </c>
      <c r="AI18" s="2">
        <v>29</v>
      </c>
      <c r="AJ18" s="2">
        <v>30</v>
      </c>
    </row>
    <row r="19" spans="5:70" x14ac:dyDescent="0.2">
      <c r="F19" s="3" t="s">
        <v>36</v>
      </c>
      <c r="G19">
        <f>G25</f>
        <v>2</v>
      </c>
      <c r="H19">
        <f t="shared" ref="H19:AJ19" si="5">IF(H22=0,0-H3,G19+H25-H3)</f>
        <v>2</v>
      </c>
      <c r="I19">
        <f t="shared" si="5"/>
        <v>2</v>
      </c>
      <c r="J19">
        <f t="shared" si="5"/>
        <v>0</v>
      </c>
      <c r="K19">
        <f t="shared" si="5"/>
        <v>-2</v>
      </c>
      <c r="L19">
        <f t="shared" si="5"/>
        <v>4</v>
      </c>
      <c r="M19">
        <f t="shared" si="5"/>
        <v>1</v>
      </c>
      <c r="N19">
        <f t="shared" si="5"/>
        <v>2.408662899251337</v>
      </c>
      <c r="O19">
        <f t="shared" si="5"/>
        <v>2.408662899251337</v>
      </c>
      <c r="P19">
        <f t="shared" si="5"/>
        <v>1.408662899251337</v>
      </c>
      <c r="Q19">
        <f t="shared" si="5"/>
        <v>5.408662899251337</v>
      </c>
      <c r="R19">
        <f t="shared" si="5"/>
        <v>5.408662899251337</v>
      </c>
      <c r="S19">
        <f t="shared" si="5"/>
        <v>2.408662899251337</v>
      </c>
      <c r="T19">
        <f t="shared" si="5"/>
        <v>0</v>
      </c>
      <c r="U19">
        <f t="shared" si="5"/>
        <v>9.8146633297682806E-2</v>
      </c>
      <c r="V19">
        <f t="shared" si="5"/>
        <v>1.0981466332976828</v>
      </c>
      <c r="W19">
        <f t="shared" si="5"/>
        <v>1.0981466332976828</v>
      </c>
      <c r="X19">
        <f t="shared" si="5"/>
        <v>1.0981466332976828</v>
      </c>
      <c r="Y19">
        <f t="shared" si="5"/>
        <v>-1</v>
      </c>
      <c r="Z19">
        <f t="shared" si="5"/>
        <v>-1</v>
      </c>
      <c r="AA19">
        <f t="shared" si="5"/>
        <v>2</v>
      </c>
      <c r="AB19">
        <f t="shared" si="5"/>
        <v>0.70860952449197878</v>
      </c>
      <c r="AC19">
        <f t="shared" si="5"/>
        <v>0.70860952449197878</v>
      </c>
      <c r="AD19">
        <f t="shared" si="5"/>
        <v>0.70860952449197878</v>
      </c>
      <c r="AE19">
        <f t="shared" si="5"/>
        <v>0</v>
      </c>
      <c r="AF19">
        <f t="shared" si="5"/>
        <v>1</v>
      </c>
      <c r="AG19">
        <f t="shared" si="5"/>
        <v>0</v>
      </c>
      <c r="AH19">
        <f t="shared" si="5"/>
        <v>0</v>
      </c>
      <c r="AI19">
        <f t="shared" si="5"/>
        <v>0</v>
      </c>
      <c r="AJ19">
        <f t="shared" si="5"/>
        <v>0</v>
      </c>
      <c r="BR19" s="3"/>
    </row>
    <row r="21" spans="5:70" x14ac:dyDescent="0.2">
      <c r="F21" s="10" t="s">
        <v>23</v>
      </c>
      <c r="G21" s="2">
        <v>1</v>
      </c>
      <c r="H21" s="2">
        <v>2</v>
      </c>
      <c r="I21" s="2">
        <v>3</v>
      </c>
      <c r="J21" s="2">
        <v>4</v>
      </c>
      <c r="K21" s="2">
        <v>5</v>
      </c>
      <c r="L21" s="2">
        <v>6</v>
      </c>
      <c r="M21" s="2">
        <v>7</v>
      </c>
      <c r="N21" s="2">
        <v>8</v>
      </c>
      <c r="O21" s="2">
        <v>9</v>
      </c>
      <c r="P21" s="2">
        <v>10</v>
      </c>
      <c r="Q21" s="2">
        <v>11</v>
      </c>
      <c r="R21" s="2">
        <v>12</v>
      </c>
      <c r="S21" s="2">
        <v>13</v>
      </c>
      <c r="T21" s="2">
        <v>14</v>
      </c>
      <c r="U21" s="2">
        <v>15</v>
      </c>
      <c r="V21" s="2">
        <v>16</v>
      </c>
      <c r="W21" s="2">
        <v>17</v>
      </c>
      <c r="X21" s="2">
        <v>18</v>
      </c>
      <c r="Y21" s="2">
        <v>19</v>
      </c>
      <c r="Z21" s="2">
        <v>20</v>
      </c>
      <c r="AA21" s="2">
        <v>21</v>
      </c>
      <c r="AB21" s="2">
        <v>22</v>
      </c>
      <c r="AC21" s="2">
        <v>23</v>
      </c>
      <c r="AD21" s="2">
        <v>24</v>
      </c>
      <c r="AE21" s="2">
        <v>25</v>
      </c>
      <c r="AF21" s="2">
        <v>26</v>
      </c>
      <c r="AG21" s="2">
        <v>27</v>
      </c>
      <c r="AH21" s="2">
        <v>28</v>
      </c>
      <c r="AI21" s="2">
        <v>29</v>
      </c>
      <c r="AJ21" s="2">
        <v>30</v>
      </c>
    </row>
    <row r="22" spans="5:70" x14ac:dyDescent="0.2">
      <c r="F22" s="3" t="s">
        <v>36</v>
      </c>
      <c r="G22">
        <f>IF(G7&gt;0,E3,0)</f>
        <v>3</v>
      </c>
      <c r="H22">
        <f t="shared" ref="H22:AJ22" si="6">IF(H7=0,G22-1,$E3)</f>
        <v>2</v>
      </c>
      <c r="I22">
        <f t="shared" si="6"/>
        <v>1</v>
      </c>
      <c r="J22">
        <f t="shared" si="6"/>
        <v>0</v>
      </c>
      <c r="K22">
        <f t="shared" si="6"/>
        <v>-1</v>
      </c>
      <c r="L22">
        <f t="shared" si="6"/>
        <v>3</v>
      </c>
      <c r="M22">
        <f t="shared" si="6"/>
        <v>2</v>
      </c>
      <c r="N22">
        <f t="shared" si="6"/>
        <v>3</v>
      </c>
      <c r="O22">
        <f t="shared" si="6"/>
        <v>2</v>
      </c>
      <c r="P22">
        <f t="shared" si="6"/>
        <v>1</v>
      </c>
      <c r="Q22">
        <f t="shared" si="6"/>
        <v>3</v>
      </c>
      <c r="R22">
        <f t="shared" si="6"/>
        <v>2</v>
      </c>
      <c r="S22">
        <f t="shared" si="6"/>
        <v>1</v>
      </c>
      <c r="T22">
        <f t="shared" si="6"/>
        <v>0</v>
      </c>
      <c r="U22">
        <f t="shared" si="6"/>
        <v>3</v>
      </c>
      <c r="V22">
        <f t="shared" si="6"/>
        <v>3</v>
      </c>
      <c r="W22">
        <f t="shared" si="6"/>
        <v>2</v>
      </c>
      <c r="X22">
        <f t="shared" si="6"/>
        <v>1</v>
      </c>
      <c r="Y22">
        <f t="shared" si="6"/>
        <v>0</v>
      </c>
      <c r="Z22">
        <f t="shared" si="6"/>
        <v>-1</v>
      </c>
      <c r="AA22">
        <f t="shared" si="6"/>
        <v>3</v>
      </c>
      <c r="AB22">
        <f t="shared" si="6"/>
        <v>3</v>
      </c>
      <c r="AC22">
        <f t="shared" si="6"/>
        <v>2</v>
      </c>
      <c r="AD22">
        <f t="shared" si="6"/>
        <v>1</v>
      </c>
      <c r="AE22">
        <f t="shared" si="6"/>
        <v>0</v>
      </c>
      <c r="AF22">
        <f t="shared" si="6"/>
        <v>3</v>
      </c>
      <c r="AG22">
        <f t="shared" si="6"/>
        <v>2</v>
      </c>
      <c r="AH22">
        <f t="shared" si="6"/>
        <v>1</v>
      </c>
      <c r="AI22">
        <f t="shared" si="6"/>
        <v>0</v>
      </c>
      <c r="AJ22">
        <f t="shared" si="6"/>
        <v>-1</v>
      </c>
    </row>
    <row r="23" spans="5:70" x14ac:dyDescent="0.2">
      <c r="F23" s="3"/>
    </row>
    <row r="24" spans="5:70" x14ac:dyDescent="0.2">
      <c r="F24" s="10" t="s">
        <v>19</v>
      </c>
      <c r="G24" s="2">
        <v>1</v>
      </c>
      <c r="H24" s="2">
        <v>2</v>
      </c>
      <c r="I24" s="2">
        <v>3</v>
      </c>
      <c r="J24" s="2">
        <v>4</v>
      </c>
      <c r="K24" s="2">
        <v>5</v>
      </c>
      <c r="L24" s="2">
        <v>6</v>
      </c>
      <c r="M24" s="2">
        <v>7</v>
      </c>
      <c r="N24" s="2">
        <v>8</v>
      </c>
      <c r="O24" s="2">
        <v>9</v>
      </c>
      <c r="P24" s="2">
        <v>10</v>
      </c>
      <c r="Q24" s="2">
        <v>11</v>
      </c>
      <c r="R24" s="2">
        <v>12</v>
      </c>
      <c r="S24" s="2">
        <v>13</v>
      </c>
      <c r="T24" s="2">
        <v>14</v>
      </c>
      <c r="U24" s="2">
        <v>15</v>
      </c>
      <c r="V24" s="2">
        <v>16</v>
      </c>
      <c r="W24" s="2">
        <v>17</v>
      </c>
      <c r="X24" s="2">
        <v>18</v>
      </c>
      <c r="Y24" s="2">
        <v>19</v>
      </c>
      <c r="Z24" s="2">
        <v>20</v>
      </c>
      <c r="AA24" s="2">
        <v>21</v>
      </c>
      <c r="AB24" s="2">
        <v>22</v>
      </c>
      <c r="AC24" s="2">
        <v>23</v>
      </c>
      <c r="AD24" s="2">
        <v>24</v>
      </c>
      <c r="AE24" s="2">
        <v>25</v>
      </c>
      <c r="AF24" s="2">
        <v>26</v>
      </c>
      <c r="AG24" s="2">
        <v>27</v>
      </c>
      <c r="AH24" s="2">
        <v>28</v>
      </c>
      <c r="AI24" s="2">
        <v>29</v>
      </c>
      <c r="AJ24" s="2">
        <v>30</v>
      </c>
      <c r="BO24" s="14"/>
      <c r="BP24" s="14"/>
      <c r="BQ24" s="14"/>
      <c r="BR24" s="3"/>
    </row>
    <row r="25" spans="5:70" x14ac:dyDescent="0.2">
      <c r="F25" s="3" t="s">
        <v>36</v>
      </c>
      <c r="G25">
        <f t="shared" ref="G25:AJ25" si="7">G7*$C9</f>
        <v>2</v>
      </c>
      <c r="H25">
        <f t="shared" si="7"/>
        <v>0</v>
      </c>
      <c r="I25">
        <f t="shared" si="7"/>
        <v>0</v>
      </c>
      <c r="J25">
        <f t="shared" si="7"/>
        <v>0</v>
      </c>
      <c r="K25">
        <f t="shared" si="7"/>
        <v>0</v>
      </c>
      <c r="L25">
        <f t="shared" si="7"/>
        <v>6</v>
      </c>
      <c r="M25">
        <f t="shared" si="7"/>
        <v>0</v>
      </c>
      <c r="N25">
        <f t="shared" si="7"/>
        <v>3.408662899251337</v>
      </c>
      <c r="O25">
        <f t="shared" si="7"/>
        <v>0</v>
      </c>
      <c r="P25">
        <f t="shared" si="7"/>
        <v>0</v>
      </c>
      <c r="Q25">
        <f t="shared" si="7"/>
        <v>4</v>
      </c>
      <c r="R25">
        <f t="shared" si="7"/>
        <v>0</v>
      </c>
      <c r="S25">
        <f t="shared" si="7"/>
        <v>0</v>
      </c>
      <c r="T25">
        <f t="shared" si="7"/>
        <v>0</v>
      </c>
      <c r="U25">
        <f t="shared" si="7"/>
        <v>1.0981466332976828</v>
      </c>
      <c r="V25">
        <f t="shared" si="7"/>
        <v>1</v>
      </c>
      <c r="W25">
        <f t="shared" si="7"/>
        <v>0</v>
      </c>
      <c r="X25">
        <f t="shared" si="7"/>
        <v>0</v>
      </c>
      <c r="Y25">
        <f t="shared" si="7"/>
        <v>0</v>
      </c>
      <c r="Z25">
        <f t="shared" si="7"/>
        <v>0</v>
      </c>
      <c r="AA25">
        <f t="shared" si="7"/>
        <v>3</v>
      </c>
      <c r="AB25">
        <f t="shared" si="7"/>
        <v>1.7086095244919788</v>
      </c>
      <c r="AC25">
        <f t="shared" si="7"/>
        <v>0</v>
      </c>
      <c r="AD25">
        <f t="shared" si="7"/>
        <v>0</v>
      </c>
      <c r="AE25">
        <f t="shared" si="7"/>
        <v>0</v>
      </c>
      <c r="AF25">
        <f t="shared" si="7"/>
        <v>1</v>
      </c>
      <c r="AG25">
        <f t="shared" si="7"/>
        <v>0</v>
      </c>
      <c r="AH25">
        <f t="shared" si="7"/>
        <v>0</v>
      </c>
      <c r="AI25">
        <f t="shared" si="7"/>
        <v>0</v>
      </c>
      <c r="AJ25">
        <f t="shared" si="7"/>
        <v>0</v>
      </c>
      <c r="BR25" s="3"/>
    </row>
    <row r="26" spans="5:70" x14ac:dyDescent="0.2">
      <c r="F26" s="3"/>
      <c r="BR26" s="3"/>
    </row>
    <row r="27" spans="5:70" x14ac:dyDescent="0.2">
      <c r="F27" s="10" t="s">
        <v>24</v>
      </c>
      <c r="G27" s="2">
        <v>1</v>
      </c>
      <c r="H27" s="2">
        <v>2</v>
      </c>
      <c r="I27" s="2">
        <v>3</v>
      </c>
      <c r="J27" s="2">
        <v>4</v>
      </c>
      <c r="K27" s="2">
        <v>5</v>
      </c>
      <c r="L27" s="2">
        <v>6</v>
      </c>
      <c r="M27" s="2">
        <v>7</v>
      </c>
      <c r="N27" s="2">
        <v>8</v>
      </c>
      <c r="O27" s="2">
        <v>9</v>
      </c>
      <c r="P27" s="2">
        <v>10</v>
      </c>
      <c r="Q27" s="2">
        <v>11</v>
      </c>
      <c r="R27" s="2">
        <v>12</v>
      </c>
      <c r="S27" s="2">
        <v>13</v>
      </c>
      <c r="T27" s="2">
        <v>14</v>
      </c>
      <c r="U27" s="2">
        <v>15</v>
      </c>
      <c r="V27" s="2">
        <v>16</v>
      </c>
      <c r="W27" s="2">
        <v>17</v>
      </c>
      <c r="X27" s="2">
        <v>18</v>
      </c>
      <c r="Y27" s="2">
        <v>19</v>
      </c>
      <c r="Z27" s="2">
        <v>20</v>
      </c>
      <c r="AA27" s="2">
        <v>21</v>
      </c>
      <c r="AB27" s="2">
        <v>22</v>
      </c>
      <c r="AC27" s="2">
        <v>23</v>
      </c>
      <c r="AD27" s="2">
        <v>24</v>
      </c>
      <c r="AE27" s="2">
        <v>25</v>
      </c>
      <c r="AF27" s="2">
        <v>26</v>
      </c>
      <c r="AG27" s="2">
        <v>27</v>
      </c>
      <c r="AH27" s="2">
        <v>28</v>
      </c>
      <c r="AI27" s="2">
        <v>29</v>
      </c>
      <c r="AJ27" s="2">
        <v>30</v>
      </c>
      <c r="BR27" s="3"/>
    </row>
    <row r="28" spans="5:70" x14ac:dyDescent="0.2">
      <c r="F28" s="3" t="s">
        <v>36</v>
      </c>
      <c r="G28">
        <v>0</v>
      </c>
      <c r="H28">
        <f t="shared" ref="H28:AJ28" si="8">IF(H15=0,IF(H22=0, H19, IF(G11-H3&lt;0,0,G11-H3)),IF(H22=0,IF(G19-H3&lt;0,0,G19-H3),0))</f>
        <v>0</v>
      </c>
      <c r="I28">
        <f t="shared" si="8"/>
        <v>0</v>
      </c>
      <c r="J28">
        <f t="shared" si="8"/>
        <v>2</v>
      </c>
      <c r="K28">
        <f t="shared" si="8"/>
        <v>0</v>
      </c>
      <c r="L28">
        <f t="shared" si="8"/>
        <v>0</v>
      </c>
      <c r="M28">
        <f t="shared" si="8"/>
        <v>0</v>
      </c>
      <c r="N28">
        <f t="shared" si="8"/>
        <v>0</v>
      </c>
      <c r="O28">
        <f t="shared" si="8"/>
        <v>0</v>
      </c>
      <c r="P28">
        <f t="shared" si="8"/>
        <v>0</v>
      </c>
      <c r="Q28">
        <f t="shared" si="8"/>
        <v>0</v>
      </c>
      <c r="R28">
        <f t="shared" si="8"/>
        <v>0</v>
      </c>
      <c r="S28">
        <f t="shared" si="8"/>
        <v>0</v>
      </c>
      <c r="T28">
        <f t="shared" si="8"/>
        <v>2.408662899251337</v>
      </c>
      <c r="U28">
        <f t="shared" si="8"/>
        <v>0</v>
      </c>
      <c r="V28">
        <f t="shared" si="8"/>
        <v>0</v>
      </c>
      <c r="W28">
        <f t="shared" si="8"/>
        <v>0</v>
      </c>
      <c r="X28">
        <f t="shared" si="8"/>
        <v>0</v>
      </c>
      <c r="Y28">
        <f t="shared" si="8"/>
        <v>9.8146633297682806E-2</v>
      </c>
      <c r="Z28">
        <f t="shared" si="8"/>
        <v>0</v>
      </c>
      <c r="AA28">
        <f t="shared" si="8"/>
        <v>0</v>
      </c>
      <c r="AB28">
        <f t="shared" si="8"/>
        <v>0</v>
      </c>
      <c r="AC28">
        <f t="shared" si="8"/>
        <v>0</v>
      </c>
      <c r="AD28">
        <f t="shared" si="8"/>
        <v>0</v>
      </c>
      <c r="AE28">
        <f t="shared" si="8"/>
        <v>0.70860952449197878</v>
      </c>
      <c r="AF28">
        <f t="shared" si="8"/>
        <v>0</v>
      </c>
      <c r="AG28">
        <f t="shared" si="8"/>
        <v>0</v>
      </c>
      <c r="AH28">
        <f t="shared" si="8"/>
        <v>0</v>
      </c>
      <c r="AI28">
        <f t="shared" si="8"/>
        <v>0</v>
      </c>
      <c r="AJ28">
        <f t="shared" si="8"/>
        <v>0</v>
      </c>
      <c r="BR28" s="3"/>
    </row>
    <row r="29" spans="5:70" x14ac:dyDescent="0.2">
      <c r="E29" s="3" t="s">
        <v>36</v>
      </c>
      <c r="F29">
        <v>1</v>
      </c>
      <c r="G29">
        <f>G$6</f>
        <v>1</v>
      </c>
      <c r="AK29">
        <f t="shared" ref="AK29:AK58" si="9">SUMPRODUCT($G$7:$AJ$7,G29:AJ29)</f>
        <v>2</v>
      </c>
      <c r="AL29" t="s">
        <v>16</v>
      </c>
      <c r="AM29">
        <f ca="1">IF(G6=1,SUM(OFFSET(G3,0,0,1,$AM$2)),0)</f>
        <v>2</v>
      </c>
      <c r="BR29" s="3"/>
    </row>
    <row r="30" spans="5:70" x14ac:dyDescent="0.2">
      <c r="F30">
        <v>2</v>
      </c>
      <c r="H30">
        <v>1</v>
      </c>
      <c r="AK30">
        <f t="shared" si="9"/>
        <v>0</v>
      </c>
      <c r="AL30" t="s">
        <v>16</v>
      </c>
      <c r="AM30">
        <f ca="1">H13</f>
        <v>0</v>
      </c>
      <c r="BR30" s="3"/>
    </row>
    <row r="31" spans="5:70" x14ac:dyDescent="0.2">
      <c r="F31">
        <v>3</v>
      </c>
      <c r="I31">
        <v>1</v>
      </c>
      <c r="AK31">
        <f t="shared" si="9"/>
        <v>0</v>
      </c>
      <c r="AL31" t="s">
        <v>16</v>
      </c>
      <c r="AM31">
        <f ca="1">I13</f>
        <v>0</v>
      </c>
      <c r="BR31" s="3"/>
    </row>
    <row r="32" spans="5:70" x14ac:dyDescent="0.2">
      <c r="F32">
        <v>4</v>
      </c>
      <c r="J32">
        <v>1</v>
      </c>
      <c r="AK32">
        <f t="shared" si="9"/>
        <v>0</v>
      </c>
      <c r="AL32" t="s">
        <v>16</v>
      </c>
      <c r="AM32">
        <f ca="1">J13</f>
        <v>0</v>
      </c>
      <c r="BR32" s="3"/>
    </row>
    <row r="33" spans="6:70" ht="15.5" x14ac:dyDescent="0.2">
      <c r="F33">
        <v>5</v>
      </c>
      <c r="K33">
        <v>1</v>
      </c>
      <c r="AK33">
        <f t="shared" si="9"/>
        <v>0</v>
      </c>
      <c r="AL33" t="s">
        <v>16</v>
      </c>
      <c r="AM33">
        <f ca="1">K13</f>
        <v>0</v>
      </c>
    </row>
    <row r="34" spans="6:70" ht="15.5" x14ac:dyDescent="0.2">
      <c r="F34">
        <v>6</v>
      </c>
      <c r="L34">
        <v>1</v>
      </c>
      <c r="AK34">
        <f t="shared" si="9"/>
        <v>6</v>
      </c>
      <c r="AL34" t="s">
        <v>16</v>
      </c>
      <c r="AM34">
        <f ca="1">L13</f>
        <v>6</v>
      </c>
    </row>
    <row r="35" spans="6:70" x14ac:dyDescent="0.2">
      <c r="F35">
        <v>7</v>
      </c>
      <c r="M35">
        <v>1</v>
      </c>
      <c r="AK35">
        <f t="shared" si="9"/>
        <v>0</v>
      </c>
      <c r="AL35" t="s">
        <v>16</v>
      </c>
      <c r="AM35">
        <f ca="1">M13</f>
        <v>0</v>
      </c>
      <c r="BR35" s="3"/>
    </row>
    <row r="36" spans="6:70" x14ac:dyDescent="0.2">
      <c r="F36">
        <v>8</v>
      </c>
      <c r="N36">
        <f>N$6</f>
        <v>0</v>
      </c>
      <c r="AK36">
        <f t="shared" si="9"/>
        <v>0</v>
      </c>
      <c r="AL36" t="s">
        <v>16</v>
      </c>
      <c r="AM36">
        <f ca="1">N13</f>
        <v>0</v>
      </c>
      <c r="BR36" s="3"/>
    </row>
    <row r="37" spans="6:70" x14ac:dyDescent="0.2">
      <c r="F37">
        <v>9</v>
      </c>
      <c r="O37">
        <v>1</v>
      </c>
      <c r="AK37">
        <f t="shared" si="9"/>
        <v>0</v>
      </c>
      <c r="AL37" t="s">
        <v>16</v>
      </c>
      <c r="AM37">
        <f ca="1">O13</f>
        <v>0</v>
      </c>
      <c r="BR37" s="3"/>
    </row>
    <row r="38" spans="6:70" x14ac:dyDescent="0.2">
      <c r="F38">
        <v>10</v>
      </c>
      <c r="P38">
        <v>1</v>
      </c>
      <c r="AK38">
        <f t="shared" si="9"/>
        <v>0</v>
      </c>
      <c r="AL38" t="s">
        <v>16</v>
      </c>
      <c r="AM38">
        <f ca="1">P13</f>
        <v>0</v>
      </c>
      <c r="BR38" s="3"/>
    </row>
    <row r="39" spans="6:70" x14ac:dyDescent="0.2">
      <c r="F39">
        <v>11</v>
      </c>
      <c r="Q39">
        <v>1</v>
      </c>
      <c r="AK39">
        <f t="shared" si="9"/>
        <v>4</v>
      </c>
      <c r="AL39" t="s">
        <v>16</v>
      </c>
      <c r="AM39">
        <f ca="1">Q13</f>
        <v>4</v>
      </c>
      <c r="BR39" s="3"/>
    </row>
    <row r="40" spans="6:70" x14ac:dyDescent="0.2">
      <c r="F40">
        <v>12</v>
      </c>
      <c r="R40">
        <v>1</v>
      </c>
      <c r="AK40">
        <f t="shared" si="9"/>
        <v>0</v>
      </c>
      <c r="AL40" t="s">
        <v>16</v>
      </c>
      <c r="AM40">
        <f ca="1">R13</f>
        <v>0</v>
      </c>
      <c r="BR40" s="3"/>
    </row>
    <row r="41" spans="6:70" x14ac:dyDescent="0.2">
      <c r="F41">
        <v>13</v>
      </c>
      <c r="S41">
        <v>1</v>
      </c>
      <c r="AK41">
        <f t="shared" si="9"/>
        <v>0</v>
      </c>
      <c r="AL41" t="s">
        <v>16</v>
      </c>
      <c r="AM41">
        <f ca="1">S13</f>
        <v>0</v>
      </c>
      <c r="BR41" s="3"/>
    </row>
    <row r="42" spans="6:70" ht="15.5" x14ac:dyDescent="0.2">
      <c r="F42">
        <v>14</v>
      </c>
      <c r="T42">
        <v>1</v>
      </c>
      <c r="AK42">
        <f t="shared" si="9"/>
        <v>0</v>
      </c>
      <c r="AL42" t="s">
        <v>16</v>
      </c>
      <c r="AM42">
        <f ca="1">T13</f>
        <v>0</v>
      </c>
    </row>
    <row r="43" spans="6:70" ht="15.5" x14ac:dyDescent="0.2">
      <c r="F43">
        <v>15</v>
      </c>
      <c r="U43">
        <f>U$6</f>
        <v>0</v>
      </c>
      <c r="AK43">
        <f t="shared" si="9"/>
        <v>0</v>
      </c>
      <c r="AL43" t="s">
        <v>16</v>
      </c>
      <c r="AM43">
        <f ca="1">U13</f>
        <v>0</v>
      </c>
    </row>
    <row r="44" spans="6:70" ht="15.5" x14ac:dyDescent="0.2">
      <c r="F44">
        <v>16</v>
      </c>
      <c r="V44">
        <v>1</v>
      </c>
      <c r="AK44">
        <f t="shared" si="9"/>
        <v>1</v>
      </c>
      <c r="AL44" t="s">
        <v>16</v>
      </c>
      <c r="AM44">
        <f ca="1">V13</f>
        <v>1</v>
      </c>
    </row>
    <row r="45" spans="6:70" x14ac:dyDescent="0.2">
      <c r="F45">
        <v>17</v>
      </c>
      <c r="W45">
        <v>1</v>
      </c>
      <c r="AK45">
        <f t="shared" si="9"/>
        <v>0</v>
      </c>
      <c r="AL45" t="s">
        <v>16</v>
      </c>
      <c r="AM45">
        <f ca="1">W13</f>
        <v>0</v>
      </c>
      <c r="BR45" s="3"/>
    </row>
    <row r="46" spans="6:70" x14ac:dyDescent="0.2">
      <c r="F46">
        <v>18</v>
      </c>
      <c r="X46">
        <v>1</v>
      </c>
      <c r="AK46">
        <f t="shared" si="9"/>
        <v>0</v>
      </c>
      <c r="AL46" t="s">
        <v>16</v>
      </c>
      <c r="AM46">
        <f ca="1">X13</f>
        <v>0</v>
      </c>
      <c r="BR46" s="3"/>
    </row>
    <row r="47" spans="6:70" x14ac:dyDescent="0.2">
      <c r="F47">
        <v>19</v>
      </c>
      <c r="Y47">
        <v>1</v>
      </c>
      <c r="AK47">
        <f t="shared" si="9"/>
        <v>0</v>
      </c>
      <c r="AL47" t="s">
        <v>16</v>
      </c>
      <c r="AM47">
        <f ca="1">Y13</f>
        <v>0</v>
      </c>
      <c r="BR47" s="3"/>
    </row>
    <row r="48" spans="6:70" x14ac:dyDescent="0.2">
      <c r="F48">
        <v>20</v>
      </c>
      <c r="Z48">
        <v>1</v>
      </c>
      <c r="AK48">
        <f t="shared" si="9"/>
        <v>0</v>
      </c>
      <c r="AL48" t="s">
        <v>16</v>
      </c>
      <c r="AM48">
        <f ca="1">Z13</f>
        <v>0</v>
      </c>
      <c r="BR48" s="3"/>
    </row>
    <row r="49" spans="6:70" x14ac:dyDescent="0.2">
      <c r="F49">
        <v>21</v>
      </c>
      <c r="AA49">
        <v>1</v>
      </c>
      <c r="AK49">
        <f t="shared" si="9"/>
        <v>3</v>
      </c>
      <c r="AL49" t="s">
        <v>16</v>
      </c>
      <c r="AM49">
        <f ca="1">AA13</f>
        <v>3</v>
      </c>
      <c r="BR49" s="3"/>
    </row>
    <row r="50" spans="6:70" x14ac:dyDescent="0.2">
      <c r="F50">
        <v>22</v>
      </c>
      <c r="AB50">
        <f>AB$6</f>
        <v>0</v>
      </c>
      <c r="AK50">
        <f t="shared" si="9"/>
        <v>0</v>
      </c>
      <c r="AL50" t="s">
        <v>16</v>
      </c>
      <c r="AM50">
        <f ca="1">AB13</f>
        <v>0</v>
      </c>
      <c r="BR50" s="3"/>
    </row>
    <row r="51" spans="6:70" x14ac:dyDescent="0.2">
      <c r="F51">
        <v>23</v>
      </c>
      <c r="AC51">
        <v>1</v>
      </c>
      <c r="AK51">
        <f t="shared" si="9"/>
        <v>0</v>
      </c>
      <c r="AL51" t="s">
        <v>16</v>
      </c>
      <c r="AM51">
        <f ca="1">AC13</f>
        <v>0</v>
      </c>
      <c r="BR51" s="3"/>
    </row>
    <row r="52" spans="6:70" ht="15.5" x14ac:dyDescent="0.2">
      <c r="F52">
        <v>24</v>
      </c>
      <c r="AD52">
        <v>1</v>
      </c>
      <c r="AK52">
        <f t="shared" si="9"/>
        <v>0</v>
      </c>
      <c r="AL52" t="s">
        <v>16</v>
      </c>
      <c r="AM52">
        <f ca="1">AD13</f>
        <v>0</v>
      </c>
    </row>
    <row r="53" spans="6:70" x14ac:dyDescent="0.2">
      <c r="F53">
        <v>25</v>
      </c>
      <c r="AE53">
        <v>1</v>
      </c>
      <c r="AK53">
        <f t="shared" si="9"/>
        <v>0</v>
      </c>
      <c r="AL53" t="s">
        <v>16</v>
      </c>
      <c r="AM53">
        <f ca="1">AE13</f>
        <v>0</v>
      </c>
    </row>
    <row r="54" spans="6:70" x14ac:dyDescent="0.2">
      <c r="F54">
        <v>26</v>
      </c>
      <c r="AF54">
        <v>1</v>
      </c>
      <c r="AK54">
        <f t="shared" si="9"/>
        <v>1</v>
      </c>
      <c r="AL54" t="s">
        <v>16</v>
      </c>
      <c r="AM54">
        <f ca="1">AF13</f>
        <v>1</v>
      </c>
    </row>
    <row r="55" spans="6:70" x14ac:dyDescent="0.2">
      <c r="F55">
        <v>27</v>
      </c>
      <c r="AG55">
        <v>1</v>
      </c>
      <c r="AK55">
        <f t="shared" si="9"/>
        <v>0</v>
      </c>
      <c r="AL55" t="s">
        <v>16</v>
      </c>
      <c r="AM55">
        <f ca="1">AG13</f>
        <v>0</v>
      </c>
      <c r="BR55" s="3"/>
    </row>
    <row r="56" spans="6:70" x14ac:dyDescent="0.2">
      <c r="F56">
        <v>28</v>
      </c>
      <c r="AH56">
        <v>1</v>
      </c>
      <c r="AK56">
        <f t="shared" si="9"/>
        <v>0</v>
      </c>
      <c r="AL56" t="s">
        <v>16</v>
      </c>
      <c r="AM56">
        <f ca="1">AH13</f>
        <v>0</v>
      </c>
      <c r="BR56" s="3"/>
    </row>
    <row r="57" spans="6:70" x14ac:dyDescent="0.2">
      <c r="F57">
        <v>29</v>
      </c>
      <c r="AI57">
        <f>AI6</f>
        <v>0</v>
      </c>
      <c r="AK57">
        <f t="shared" si="9"/>
        <v>0</v>
      </c>
      <c r="AL57" t="s">
        <v>16</v>
      </c>
      <c r="AM57">
        <f ca="1">AI13</f>
        <v>0</v>
      </c>
      <c r="BR57" s="3"/>
    </row>
    <row r="58" spans="6:70" x14ac:dyDescent="0.2">
      <c r="F58">
        <v>30</v>
      </c>
      <c r="AJ58">
        <v>1</v>
      </c>
      <c r="AK58">
        <f t="shared" si="9"/>
        <v>0</v>
      </c>
      <c r="AL58" t="s">
        <v>16</v>
      </c>
      <c r="AM58">
        <f ca="1">AJ13</f>
        <v>0</v>
      </c>
      <c r="BR58" s="3"/>
    </row>
    <row r="59" spans="6:70" x14ac:dyDescent="0.2">
      <c r="BR59" s="3"/>
    </row>
    <row r="60" spans="6:70" x14ac:dyDescent="0.2">
      <c r="BR60" s="3"/>
    </row>
    <row r="61" spans="6:70" x14ac:dyDescent="0.2">
      <c r="BR61" s="3"/>
    </row>
    <row r="80" spans="2:66" x14ac:dyDescent="0.2"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</row>
    <row r="136" spans="2:66" x14ac:dyDescent="0.2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</row>
    <row r="164" spans="2:66" x14ac:dyDescent="0.2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</row>
    <row r="192" spans="2:66" x14ac:dyDescent="0.2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</row>
    <row r="220" spans="2:66" x14ac:dyDescent="0.2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</row>
  </sheetData>
  <conditionalFormatting sqref="BZ7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24:CT30 BS55:CT61 G19:AJ19 G28:AJ28">
    <cfRule type="cellIs" dxfId="0" priority="1" operator="lessThan">
      <formula>0</formula>
    </cfRule>
  </conditionalFormatting>
  <conditionalFormatting sqref="G6:AJ6">
    <cfRule type="colorScale" priority="3">
      <colorScale>
        <cfvo type="min"/>
        <cfvo type="max"/>
        <color theme="0"/>
        <color theme="7"/>
      </colorScale>
    </cfRule>
    <cfRule type="colorScale" priority="4">
      <colorScale>
        <cfvo type="min"/>
        <cfvo type="max"/>
        <color rgb="FF63BE7B"/>
        <color rgb="FFFFEF9C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6EBF3-A3FA-4F15-9E52-4513F8F50155}">
  <sheetPr codeName="Sheet10"/>
  <dimension ref="B1:AJ17"/>
  <sheetViews>
    <sheetView workbookViewId="0">
      <selection activeCell="H12" sqref="H12"/>
    </sheetView>
  </sheetViews>
  <sheetFormatPr baseColWidth="10" defaultColWidth="8.83203125" defaultRowHeight="16" x14ac:dyDescent="0.2"/>
  <sheetData>
    <row r="1" spans="2:36" x14ac:dyDescent="0.2">
      <c r="D1" s="5">
        <f t="shared" ref="D1:AG1" si="0">D2/$AJ$2</f>
        <v>0.16666666666666666</v>
      </c>
      <c r="E1" s="5">
        <f t="shared" si="0"/>
        <v>0.33333333333333331</v>
      </c>
      <c r="F1" s="5">
        <f t="shared" si="0"/>
        <v>0.5</v>
      </c>
      <c r="G1" s="5">
        <f t="shared" si="0"/>
        <v>0.66666666666666663</v>
      </c>
      <c r="H1" s="5">
        <f t="shared" si="0"/>
        <v>0.83333333333333337</v>
      </c>
      <c r="I1" s="5">
        <f t="shared" si="0"/>
        <v>1</v>
      </c>
      <c r="J1" s="5">
        <f t="shared" si="0"/>
        <v>1.1666666666666667</v>
      </c>
      <c r="K1" s="5">
        <f t="shared" si="0"/>
        <v>1.3333333333333333</v>
      </c>
      <c r="L1" s="5">
        <f t="shared" si="0"/>
        <v>1.5</v>
      </c>
      <c r="M1" s="5">
        <f t="shared" si="0"/>
        <v>1.6666666666666667</v>
      </c>
      <c r="N1" s="5">
        <f t="shared" si="0"/>
        <v>1.8333333333333333</v>
      </c>
      <c r="O1" s="5">
        <f t="shared" si="0"/>
        <v>2</v>
      </c>
      <c r="P1" s="5">
        <f t="shared" si="0"/>
        <v>2.1666666666666665</v>
      </c>
      <c r="Q1" s="5">
        <f t="shared" si="0"/>
        <v>2.3333333333333335</v>
      </c>
      <c r="R1" s="5">
        <f t="shared" si="0"/>
        <v>2.5</v>
      </c>
      <c r="S1" s="5">
        <f t="shared" si="0"/>
        <v>2.6666666666666665</v>
      </c>
      <c r="T1" s="5">
        <f t="shared" si="0"/>
        <v>2.8333333333333335</v>
      </c>
      <c r="U1" s="5">
        <f t="shared" si="0"/>
        <v>3</v>
      </c>
      <c r="V1" s="5">
        <f t="shared" si="0"/>
        <v>3.1666666666666665</v>
      </c>
      <c r="W1" s="5">
        <f t="shared" si="0"/>
        <v>3.3333333333333335</v>
      </c>
      <c r="X1" s="5">
        <f t="shared" si="0"/>
        <v>3.5</v>
      </c>
      <c r="Y1" s="5">
        <f t="shared" si="0"/>
        <v>3.6666666666666665</v>
      </c>
      <c r="Z1" s="5">
        <f t="shared" si="0"/>
        <v>3.8333333333333335</v>
      </c>
      <c r="AA1" s="5">
        <f t="shared" si="0"/>
        <v>4</v>
      </c>
      <c r="AB1" s="5">
        <f t="shared" si="0"/>
        <v>4.166666666666667</v>
      </c>
      <c r="AC1" s="5">
        <f t="shared" si="0"/>
        <v>4.333333333333333</v>
      </c>
      <c r="AD1" s="5">
        <f t="shared" si="0"/>
        <v>4.5</v>
      </c>
      <c r="AE1" s="5">
        <f t="shared" si="0"/>
        <v>4.666666666666667</v>
      </c>
      <c r="AF1" s="5">
        <f t="shared" si="0"/>
        <v>4.833333333333333</v>
      </c>
      <c r="AG1" s="5">
        <f t="shared" si="0"/>
        <v>5</v>
      </c>
    </row>
    <row r="2" spans="2:36" x14ac:dyDescent="0.2">
      <c r="B2" s="11" t="s">
        <v>0</v>
      </c>
      <c r="C2" s="11" t="s">
        <v>1</v>
      </c>
      <c r="D2" s="10">
        <v>1</v>
      </c>
      <c r="E2" s="10">
        <v>2</v>
      </c>
      <c r="F2" s="10">
        <v>3</v>
      </c>
      <c r="G2" s="10">
        <v>4</v>
      </c>
      <c r="H2" s="10">
        <v>5</v>
      </c>
      <c r="I2" s="10">
        <v>6</v>
      </c>
      <c r="J2" s="10">
        <v>7</v>
      </c>
      <c r="K2" s="10">
        <v>8</v>
      </c>
      <c r="L2" s="10">
        <v>9</v>
      </c>
      <c r="M2" s="10">
        <v>10</v>
      </c>
      <c r="N2" s="10">
        <v>11</v>
      </c>
      <c r="O2" s="10">
        <v>12</v>
      </c>
      <c r="P2" s="10">
        <v>13</v>
      </c>
      <c r="Q2" s="10">
        <v>14</v>
      </c>
      <c r="R2" s="10">
        <v>15</v>
      </c>
      <c r="S2" s="10">
        <v>16</v>
      </c>
      <c r="T2" s="10">
        <v>17</v>
      </c>
      <c r="U2" s="10">
        <v>18</v>
      </c>
      <c r="V2" s="10">
        <v>19</v>
      </c>
      <c r="W2" s="10">
        <v>20</v>
      </c>
      <c r="X2" s="10">
        <v>21</v>
      </c>
      <c r="Y2" s="10">
        <v>22</v>
      </c>
      <c r="Z2" s="10">
        <v>23</v>
      </c>
      <c r="AA2" s="10">
        <v>24</v>
      </c>
      <c r="AB2" s="10">
        <v>25</v>
      </c>
      <c r="AC2" s="10">
        <v>26</v>
      </c>
      <c r="AD2" s="10">
        <v>27</v>
      </c>
      <c r="AE2" s="10">
        <v>28</v>
      </c>
      <c r="AF2" s="10">
        <v>29</v>
      </c>
      <c r="AG2" s="10">
        <v>30</v>
      </c>
      <c r="AI2" t="s">
        <v>2</v>
      </c>
      <c r="AJ2" s="7">
        <v>6</v>
      </c>
    </row>
    <row r="3" spans="2:36" x14ac:dyDescent="0.2">
      <c r="B3" s="21">
        <v>3</v>
      </c>
      <c r="C3" s="3" t="s">
        <v>6</v>
      </c>
      <c r="D3" s="9">
        <f>'Inputs and Outputs'!B4</f>
        <v>0</v>
      </c>
      <c r="E3" s="9" t="e">
        <f>'Inputs and Outputs'!#REF!</f>
        <v>#REF!</v>
      </c>
      <c r="F3" s="9"/>
      <c r="G3" s="9">
        <f>'Inputs and Outputs'!E4</f>
        <v>1</v>
      </c>
      <c r="H3" s="9">
        <f>'Inputs and Outputs'!F4</f>
        <v>2</v>
      </c>
      <c r="I3" s="9">
        <f>'Inputs and Outputs'!G4</f>
        <v>1</v>
      </c>
      <c r="J3" s="9">
        <f>'Inputs and Outputs'!H4</f>
        <v>0</v>
      </c>
      <c r="K3" s="9">
        <f>'Inputs and Outputs'!I4</f>
        <v>0</v>
      </c>
      <c r="L3" s="9">
        <f>'Inputs and Outputs'!J4</f>
        <v>2</v>
      </c>
      <c r="M3" s="9">
        <f>'Inputs and Outputs'!K4</f>
        <v>0</v>
      </c>
      <c r="N3" s="9">
        <f>'Inputs and Outputs'!L4</f>
        <v>1</v>
      </c>
      <c r="O3" s="9">
        <f>'Inputs and Outputs'!M4</f>
        <v>0</v>
      </c>
      <c r="P3" s="9">
        <f>'Inputs and Outputs'!N4</f>
        <v>0</v>
      </c>
      <c r="Q3" s="9">
        <f>'Inputs and Outputs'!O4</f>
        <v>0</v>
      </c>
      <c r="R3" s="9">
        <f>'Inputs and Outputs'!P4</f>
        <v>0</v>
      </c>
      <c r="S3" s="9">
        <f>'Inputs and Outputs'!Q4</f>
        <v>3</v>
      </c>
      <c r="T3" s="9">
        <f>'Inputs and Outputs'!R4</f>
        <v>0</v>
      </c>
      <c r="U3" s="9">
        <f>'Inputs and Outputs'!S4</f>
        <v>0</v>
      </c>
      <c r="V3" s="9">
        <f>'Inputs and Outputs'!T4</f>
        <v>1</v>
      </c>
      <c r="W3" s="9">
        <f>'Inputs and Outputs'!U4</f>
        <v>0</v>
      </c>
      <c r="X3" s="9">
        <f>'Inputs and Outputs'!V4</f>
        <v>1</v>
      </c>
      <c r="Y3" s="9">
        <f>'Inputs and Outputs'!W4</f>
        <v>0</v>
      </c>
      <c r="Z3" s="9">
        <f>'Inputs and Outputs'!X4</f>
        <v>0</v>
      </c>
      <c r="AA3" s="9">
        <f>'Inputs and Outputs'!Y4</f>
        <v>0</v>
      </c>
      <c r="AB3" s="9">
        <f>'Inputs and Outputs'!Z4</f>
        <v>1</v>
      </c>
      <c r="AC3" s="9">
        <f>'Inputs and Outputs'!AA4</f>
        <v>0</v>
      </c>
      <c r="AD3" s="9">
        <f>'Inputs and Outputs'!AB4</f>
        <v>0</v>
      </c>
      <c r="AE3" s="9">
        <f>'Inputs and Outputs'!AC4</f>
        <v>0</v>
      </c>
      <c r="AF3" s="9">
        <f>'Inputs and Outputs'!AD4</f>
        <v>0</v>
      </c>
      <c r="AG3" s="9">
        <f>'Inputs and Outputs'!AE4</f>
        <v>2</v>
      </c>
    </row>
    <row r="4" spans="2:36" x14ac:dyDescent="0.2"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</row>
    <row r="5" spans="2:36" x14ac:dyDescent="0.2">
      <c r="D5" s="10">
        <v>1</v>
      </c>
      <c r="E5" s="10">
        <v>2</v>
      </c>
      <c r="F5" s="10">
        <v>3</v>
      </c>
      <c r="G5" s="10">
        <v>4</v>
      </c>
      <c r="H5" s="10">
        <v>5</v>
      </c>
      <c r="I5" s="10">
        <v>6</v>
      </c>
      <c r="J5" s="10">
        <v>7</v>
      </c>
      <c r="K5" s="10">
        <v>8</v>
      </c>
      <c r="L5" s="10">
        <v>9</v>
      </c>
      <c r="M5" s="10">
        <v>10</v>
      </c>
      <c r="N5" s="10">
        <v>11</v>
      </c>
      <c r="O5" s="10">
        <v>12</v>
      </c>
      <c r="P5" s="10">
        <v>13</v>
      </c>
      <c r="Q5" s="10">
        <v>14</v>
      </c>
      <c r="R5" s="10">
        <v>15</v>
      </c>
      <c r="S5" s="10">
        <v>16</v>
      </c>
      <c r="T5" s="10">
        <v>17</v>
      </c>
      <c r="U5" s="10">
        <v>18</v>
      </c>
      <c r="V5" s="10">
        <v>19</v>
      </c>
      <c r="W5" s="10">
        <v>20</v>
      </c>
      <c r="X5" s="10">
        <v>21</v>
      </c>
      <c r="Y5" s="10">
        <v>22</v>
      </c>
      <c r="Z5" s="10">
        <v>23</v>
      </c>
      <c r="AA5" s="10">
        <v>24</v>
      </c>
      <c r="AB5" s="10">
        <v>25</v>
      </c>
      <c r="AC5" s="10">
        <v>26</v>
      </c>
      <c r="AD5" s="10">
        <v>27</v>
      </c>
      <c r="AE5" s="10">
        <v>28</v>
      </c>
      <c r="AF5" s="10">
        <v>29</v>
      </c>
      <c r="AG5" s="10">
        <v>30</v>
      </c>
      <c r="AH5" t="s">
        <v>21</v>
      </c>
    </row>
    <row r="6" spans="2:36" x14ac:dyDescent="0.2">
      <c r="C6" s="12" t="s">
        <v>14</v>
      </c>
      <c r="D6" s="13">
        <f>IF(AJ2&gt;=1,1,0)</f>
        <v>1</v>
      </c>
      <c r="E6" s="13">
        <f t="shared" ref="E6:AG6" si="1">IF(OR(D1=1,D1=2,D1=3,D1=4,D1=5,D1=6,D1=7,D1=8,D1=9,D1=10,D1=11,D1=12,D1=13,D1=14),1,0)</f>
        <v>0</v>
      </c>
      <c r="F6" s="13">
        <f t="shared" si="1"/>
        <v>0</v>
      </c>
      <c r="G6" s="13">
        <f t="shared" si="1"/>
        <v>0</v>
      </c>
      <c r="H6" s="13">
        <f t="shared" si="1"/>
        <v>0</v>
      </c>
      <c r="I6" s="13">
        <f t="shared" si="1"/>
        <v>0</v>
      </c>
      <c r="J6" s="13">
        <f t="shared" si="1"/>
        <v>1</v>
      </c>
      <c r="K6" s="13">
        <f t="shared" si="1"/>
        <v>0</v>
      </c>
      <c r="L6" s="13">
        <f t="shared" si="1"/>
        <v>0</v>
      </c>
      <c r="M6" s="13">
        <f t="shared" si="1"/>
        <v>0</v>
      </c>
      <c r="N6" s="13">
        <f t="shared" si="1"/>
        <v>0</v>
      </c>
      <c r="O6" s="13">
        <f t="shared" si="1"/>
        <v>0</v>
      </c>
      <c r="P6" s="13">
        <f t="shared" si="1"/>
        <v>1</v>
      </c>
      <c r="Q6" s="13">
        <f t="shared" si="1"/>
        <v>0</v>
      </c>
      <c r="R6" s="13">
        <f t="shared" si="1"/>
        <v>0</v>
      </c>
      <c r="S6" s="13">
        <f t="shared" si="1"/>
        <v>0</v>
      </c>
      <c r="T6" s="13">
        <f t="shared" si="1"/>
        <v>0</v>
      </c>
      <c r="U6" s="13">
        <f t="shared" si="1"/>
        <v>0</v>
      </c>
      <c r="V6" s="13">
        <f t="shared" si="1"/>
        <v>1</v>
      </c>
      <c r="W6" s="13">
        <f t="shared" si="1"/>
        <v>0</v>
      </c>
      <c r="X6" s="13">
        <f t="shared" si="1"/>
        <v>0</v>
      </c>
      <c r="Y6" s="13">
        <f t="shared" si="1"/>
        <v>0</v>
      </c>
      <c r="Z6" s="13">
        <f t="shared" si="1"/>
        <v>0</v>
      </c>
      <c r="AA6" s="13">
        <f t="shared" si="1"/>
        <v>0</v>
      </c>
      <c r="AB6" s="13">
        <f t="shared" si="1"/>
        <v>1</v>
      </c>
      <c r="AC6" s="13">
        <f t="shared" si="1"/>
        <v>0</v>
      </c>
      <c r="AD6" s="13">
        <f t="shared" si="1"/>
        <v>0</v>
      </c>
      <c r="AE6" s="13">
        <f t="shared" si="1"/>
        <v>0</v>
      </c>
      <c r="AF6" s="13">
        <f t="shared" si="1"/>
        <v>0</v>
      </c>
      <c r="AG6" s="13">
        <f t="shared" si="1"/>
        <v>0</v>
      </c>
      <c r="AI6" s="1">
        <f>SUM(D28:AE28)</f>
        <v>0</v>
      </c>
    </row>
    <row r="7" spans="2:36" x14ac:dyDescent="0.2">
      <c r="B7" t="s">
        <v>15</v>
      </c>
      <c r="C7" s="3" t="s">
        <v>6</v>
      </c>
      <c r="D7" s="4">
        <v>2</v>
      </c>
      <c r="E7" s="4">
        <v>0</v>
      </c>
      <c r="F7" s="4">
        <v>0</v>
      </c>
      <c r="G7" s="4">
        <v>1</v>
      </c>
      <c r="H7" s="4">
        <v>0</v>
      </c>
      <c r="I7" s="4">
        <v>0</v>
      </c>
      <c r="J7" s="4">
        <v>2</v>
      </c>
      <c r="K7" s="4">
        <v>0</v>
      </c>
      <c r="L7" s="4">
        <v>0</v>
      </c>
      <c r="M7" s="4">
        <v>1</v>
      </c>
      <c r="N7" s="4">
        <v>0</v>
      </c>
      <c r="O7" s="4">
        <v>0</v>
      </c>
      <c r="P7" s="4">
        <v>1</v>
      </c>
      <c r="Q7" s="4">
        <v>0</v>
      </c>
      <c r="R7" s="4">
        <v>0</v>
      </c>
      <c r="S7" s="4">
        <v>4</v>
      </c>
      <c r="T7" s="4">
        <v>0</v>
      </c>
      <c r="U7" s="4">
        <v>0</v>
      </c>
      <c r="V7" s="4">
        <v>3</v>
      </c>
      <c r="W7" s="4">
        <v>0</v>
      </c>
      <c r="X7" s="4">
        <v>0</v>
      </c>
      <c r="Y7" s="4">
        <v>2</v>
      </c>
      <c r="Z7" s="4">
        <v>0</v>
      </c>
      <c r="AA7" s="4">
        <v>0</v>
      </c>
      <c r="AB7" s="4">
        <v>3</v>
      </c>
      <c r="AC7" s="4">
        <v>0</v>
      </c>
      <c r="AD7" s="4">
        <v>0</v>
      </c>
      <c r="AE7" s="4">
        <v>1</v>
      </c>
      <c r="AF7" s="4">
        <v>0</v>
      </c>
      <c r="AG7" s="4">
        <v>0</v>
      </c>
      <c r="AH7">
        <f>SUMPRODUCT($G$6:$AJ$6,D7:AG7)</f>
        <v>8</v>
      </c>
      <c r="AI7" s="6" t="s">
        <v>16</v>
      </c>
      <c r="AJ7" t="e">
        <f>SUM(D3:AG3)</f>
        <v>#REF!</v>
      </c>
    </row>
    <row r="12" spans="2:36" x14ac:dyDescent="0.2">
      <c r="D12" s="25">
        <f t="shared" ref="D12:AG12" si="2">IF(D6=1,1,C12+1)</f>
        <v>1</v>
      </c>
      <c r="E12" s="25">
        <f t="shared" si="2"/>
        <v>2</v>
      </c>
      <c r="F12" s="25">
        <f t="shared" si="2"/>
        <v>3</v>
      </c>
      <c r="G12" s="25">
        <f t="shared" si="2"/>
        <v>4</v>
      </c>
      <c r="H12" s="25">
        <f t="shared" si="2"/>
        <v>5</v>
      </c>
      <c r="I12" s="25">
        <f t="shared" si="2"/>
        <v>6</v>
      </c>
      <c r="J12" s="25">
        <f t="shared" si="2"/>
        <v>1</v>
      </c>
      <c r="K12" s="25">
        <f t="shared" si="2"/>
        <v>2</v>
      </c>
      <c r="L12" s="25">
        <f t="shared" si="2"/>
        <v>3</v>
      </c>
      <c r="M12" s="25">
        <f t="shared" si="2"/>
        <v>4</v>
      </c>
      <c r="N12" s="25">
        <f t="shared" si="2"/>
        <v>5</v>
      </c>
      <c r="O12" s="25">
        <f t="shared" si="2"/>
        <v>6</v>
      </c>
      <c r="P12" s="25">
        <f t="shared" si="2"/>
        <v>1</v>
      </c>
      <c r="Q12" s="25">
        <f t="shared" si="2"/>
        <v>2</v>
      </c>
      <c r="R12" s="25">
        <f t="shared" si="2"/>
        <v>3</v>
      </c>
      <c r="S12" s="25">
        <f t="shared" si="2"/>
        <v>4</v>
      </c>
      <c r="T12" s="25">
        <f t="shared" si="2"/>
        <v>5</v>
      </c>
      <c r="U12" s="25">
        <f t="shared" si="2"/>
        <v>6</v>
      </c>
      <c r="V12" s="25">
        <f t="shared" si="2"/>
        <v>1</v>
      </c>
      <c r="W12" s="25">
        <f t="shared" si="2"/>
        <v>2</v>
      </c>
      <c r="X12" s="25">
        <f t="shared" si="2"/>
        <v>3</v>
      </c>
      <c r="Y12" s="25">
        <f t="shared" si="2"/>
        <v>4</v>
      </c>
      <c r="Z12" s="25">
        <f t="shared" si="2"/>
        <v>5</v>
      </c>
      <c r="AA12" s="25">
        <f t="shared" si="2"/>
        <v>6</v>
      </c>
      <c r="AB12" s="25">
        <f t="shared" si="2"/>
        <v>1</v>
      </c>
      <c r="AC12" s="25">
        <f t="shared" si="2"/>
        <v>2</v>
      </c>
      <c r="AD12" s="25">
        <f t="shared" si="2"/>
        <v>3</v>
      </c>
      <c r="AE12" s="25">
        <f t="shared" si="2"/>
        <v>4</v>
      </c>
      <c r="AF12" s="25">
        <f t="shared" si="2"/>
        <v>5</v>
      </c>
      <c r="AG12" s="25">
        <f t="shared" si="2"/>
        <v>6</v>
      </c>
    </row>
    <row r="13" spans="2:36" x14ac:dyDescent="0.2">
      <c r="D13" s="25">
        <f t="shared" ref="D13:AG13" si="3">IF(D12&lt;=$B$3,D3,"no")</f>
        <v>0</v>
      </c>
      <c r="E13" s="25" t="e">
        <f t="shared" si="3"/>
        <v>#REF!</v>
      </c>
      <c r="F13" s="25">
        <f t="shared" si="3"/>
        <v>0</v>
      </c>
      <c r="G13" s="25" t="str">
        <f t="shared" si="3"/>
        <v>no</v>
      </c>
      <c r="H13" s="25" t="str">
        <f t="shared" si="3"/>
        <v>no</v>
      </c>
      <c r="I13" s="25" t="str">
        <f t="shared" si="3"/>
        <v>no</v>
      </c>
      <c r="J13" s="25">
        <f t="shared" si="3"/>
        <v>0</v>
      </c>
      <c r="K13" s="25">
        <f t="shared" si="3"/>
        <v>0</v>
      </c>
      <c r="L13" s="25">
        <f t="shared" si="3"/>
        <v>2</v>
      </c>
      <c r="M13" s="25" t="str">
        <f t="shared" si="3"/>
        <v>no</v>
      </c>
      <c r="N13" s="25" t="str">
        <f t="shared" si="3"/>
        <v>no</v>
      </c>
      <c r="O13" s="25" t="str">
        <f t="shared" si="3"/>
        <v>no</v>
      </c>
      <c r="P13" s="25">
        <f t="shared" si="3"/>
        <v>0</v>
      </c>
      <c r="Q13" s="25">
        <f t="shared" si="3"/>
        <v>0</v>
      </c>
      <c r="R13" s="25">
        <f t="shared" si="3"/>
        <v>0</v>
      </c>
      <c r="S13" s="25" t="str">
        <f t="shared" si="3"/>
        <v>no</v>
      </c>
      <c r="T13" s="25" t="str">
        <f t="shared" si="3"/>
        <v>no</v>
      </c>
      <c r="U13" s="25" t="str">
        <f t="shared" si="3"/>
        <v>no</v>
      </c>
      <c r="V13" s="25">
        <f t="shared" si="3"/>
        <v>1</v>
      </c>
      <c r="W13" s="25">
        <f t="shared" si="3"/>
        <v>0</v>
      </c>
      <c r="X13" s="25">
        <f t="shared" si="3"/>
        <v>1</v>
      </c>
      <c r="Y13" s="25" t="str">
        <f t="shared" si="3"/>
        <v>no</v>
      </c>
      <c r="Z13" s="25" t="str">
        <f t="shared" si="3"/>
        <v>no</v>
      </c>
      <c r="AA13" s="25" t="str">
        <f t="shared" si="3"/>
        <v>no</v>
      </c>
      <c r="AB13" s="25">
        <f t="shared" si="3"/>
        <v>1</v>
      </c>
      <c r="AC13" s="25">
        <f t="shared" si="3"/>
        <v>0</v>
      </c>
      <c r="AD13" s="25">
        <f t="shared" si="3"/>
        <v>0</v>
      </c>
      <c r="AE13" s="25" t="str">
        <f t="shared" si="3"/>
        <v>no</v>
      </c>
      <c r="AF13" s="25" t="str">
        <f t="shared" si="3"/>
        <v>no</v>
      </c>
      <c r="AG13" s="25" t="str">
        <f t="shared" si="3"/>
        <v>no</v>
      </c>
    </row>
    <row r="14" spans="2:36" x14ac:dyDescent="0.2">
      <c r="E14" s="26"/>
    </row>
    <row r="16" spans="2:36" x14ac:dyDescent="0.2">
      <c r="D16" s="26"/>
    </row>
    <row r="17" spans="4:4" x14ac:dyDescent="0.2">
      <c r="D17" s="26"/>
    </row>
  </sheetData>
  <conditionalFormatting sqref="D6:AG6">
    <cfRule type="colorScale" priority="1">
      <colorScale>
        <cfvo type="min"/>
        <cfvo type="max"/>
        <color theme="0"/>
        <color theme="7"/>
      </colorScale>
    </cfRule>
    <cfRule type="colorScale" priority="2">
      <colorScale>
        <cfvo type="min"/>
        <cfvo type="max"/>
        <color rgb="FF63BE7B"/>
        <color rgb="FFFFEF9C"/>
      </colorScale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7EEF5C81BC4454BB61CDDA61E33ED0B" ma:contentTypeVersion="4" ma:contentTypeDescription="Create a new document." ma:contentTypeScope="" ma:versionID="853016a60ff68d41e3a20c550da9012c">
  <xsd:schema xmlns:xsd="http://www.w3.org/2001/XMLSchema" xmlns:xs="http://www.w3.org/2001/XMLSchema" xmlns:p="http://schemas.microsoft.com/office/2006/metadata/properties" xmlns:ns2="eef5b25e-5f66-41ca-a438-e1b8e8678768" targetNamespace="http://schemas.microsoft.com/office/2006/metadata/properties" ma:root="true" ma:fieldsID="09b2299c8fcbab2c85f9b8eb431586ed" ns2:_="">
    <xsd:import namespace="eef5b25e-5f66-41ca-a438-e1b8e867876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f5b25e-5f66-41ca-a438-e1b8e867876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DEE8BEE-CA77-4E51-9335-031F6ABCA9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f5b25e-5f66-41ca-a438-e1b8e867876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091D1B-2909-4928-8183-0E4645CA3421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schemas.microsoft.com/office/infopath/2007/PartnerControls"/>
    <ds:schemaRef ds:uri="eef5b25e-5f66-41ca-a438-e1b8e8678768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ED4171B0-D6EB-45FE-96F7-4D7464930AC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Inputs and Outputs</vt:lpstr>
      <vt:lpstr>Avocado</vt:lpstr>
      <vt:lpstr>Blackberries</vt:lpstr>
      <vt:lpstr>Bananas</vt:lpstr>
      <vt:lpstr>Strawberries</vt:lpstr>
      <vt:lpstr>Spinach</vt:lpstr>
      <vt:lpstr>Blueberries</vt:lpstr>
      <vt:lpstr>Onion</vt:lpstr>
      <vt:lpstr>Grapes</vt:lpstr>
      <vt:lpstr>Test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Microsoft Office User</cp:lastModifiedBy>
  <cp:revision/>
  <dcterms:created xsi:type="dcterms:W3CDTF">2021-11-07T20:50:37Z</dcterms:created>
  <dcterms:modified xsi:type="dcterms:W3CDTF">2021-12-02T17:28:07Z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0x010100E7EEF5C81BC4454BB61CDDA61E33ED0B</vt:lpwstr>
  </property>
</Properties>
</file>